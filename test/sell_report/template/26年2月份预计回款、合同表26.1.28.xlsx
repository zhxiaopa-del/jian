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175" activeTab="1"/>
  </bookViews>
  <sheets>
    <sheet name="预计汇总（总）" sheetId="6" r:id="rId1"/>
    <sheet name="预计汇总（详细）" sheetId="2" r:id="rId2"/>
    <sheet name="山东办事处" sheetId="4" r:id="rId3"/>
    <sheet name="徐州办事处" sheetId="3" r:id="rId4"/>
    <sheet name="天津子公司" sheetId="5" r:id="rId5"/>
  </sheets>
  <definedNames>
    <definedName name="_xlnm.Print_Area" localSheetId="0">'预计汇总（总）'!$A$1:$G$20</definedName>
    <definedName name="_xlnm.Print_Area" localSheetId="3">徐州办事处!$A$1:$J$26</definedName>
    <definedName name="_xlnm.Print_Area" localSheetId="2">山东办事处!$A$1:$I$38</definedName>
    <definedName name="_xlnm.Print_Area" localSheetId="4">天津子公司!$A$1:$I$22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<sst xmlns="http://schemas.openxmlformats.org/spreadsheetml/2006/main" count="322" uniqueCount="54">
  <si>
    <t>2月份预计表</t>
  </si>
  <si>
    <t>月初</t>
  </si>
  <si>
    <t>公司</t>
  </si>
  <si>
    <t>项目分类</t>
  </si>
  <si>
    <t>可能回款</t>
  </si>
  <si>
    <t>确定回款</t>
  </si>
  <si>
    <t>实际回款</t>
  </si>
  <si>
    <t>月初可能合同</t>
  </si>
  <si>
    <t>月初确定合同</t>
  </si>
  <si>
    <t>可能合同</t>
  </si>
  <si>
    <t>确定合同</t>
  </si>
  <si>
    <t>实际合同</t>
  </si>
  <si>
    <t>山东办事处汇总</t>
  </si>
  <si>
    <t>动环项目</t>
  </si>
  <si>
    <t>地铁测温</t>
  </si>
  <si>
    <t>煤矿项目</t>
  </si>
  <si>
    <t>小计</t>
  </si>
  <si>
    <t>天津子公司汇总</t>
  </si>
  <si>
    <t>徐州办事处汇总</t>
  </si>
  <si>
    <t>合计</t>
  </si>
  <si>
    <t>公司名</t>
  </si>
  <si>
    <t>负责人</t>
  </si>
  <si>
    <t>月初可能回款</t>
  </si>
  <si>
    <t>月初确定回款</t>
  </si>
  <si>
    <t>山东办事处</t>
  </si>
  <si>
    <t>李晓林</t>
  </si>
  <si>
    <t>李大鹏</t>
  </si>
  <si>
    <t>李金芳</t>
  </si>
  <si>
    <t>孙旭光</t>
  </si>
  <si>
    <t>天津子公司</t>
  </si>
  <si>
    <t>丁俊</t>
  </si>
  <si>
    <t>隋亚林</t>
  </si>
  <si>
    <t>徐州办事处</t>
  </si>
  <si>
    <t>杨志龙</t>
  </si>
  <si>
    <t>付海元</t>
  </si>
  <si>
    <t>2月份预计回款</t>
  </si>
  <si>
    <t xml:space="preserve">2026年2月1日——2月28日   </t>
  </si>
  <si>
    <t>项目类型</t>
  </si>
  <si>
    <t>项目名称</t>
  </si>
  <si>
    <t>月初预计可能回款</t>
  </si>
  <si>
    <t>月初预计确定回款</t>
  </si>
  <si>
    <t>未回款金额</t>
  </si>
  <si>
    <t>未完成原因</t>
  </si>
  <si>
    <t>解决办法</t>
  </si>
  <si>
    <t>市政项目</t>
  </si>
  <si>
    <t>2月份预计合同</t>
  </si>
  <si>
    <t>公司名称</t>
  </si>
  <si>
    <t>月初预计可能合同</t>
  </si>
  <si>
    <t>月初预计确定合同</t>
  </si>
  <si>
    <t>完成情况</t>
  </si>
  <si>
    <t>2月份预计施工</t>
  </si>
  <si>
    <t>2026年2月1日—2月28日</t>
  </si>
  <si>
    <t>回款节点确定</t>
  </si>
  <si>
    <t>回款节点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</si>
</sst>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;[Red]0.00"/>
    <numFmt numFmtId="178" formatCode="0;[Red]0"/>
    <numFmt numFmtId="179" formatCode="0_ "/>
    <numFmt numFmtId="180" formatCode="m&quot;月&quot;d&quot;日&quot;;@"/>
  </numFmts>
  <fonts count="33">
    <font>
      <sz val="11"/>
      <color theme="1"/>
      <name val="宋体"/>
      <charset val="134"/>
      <scheme val="minor"/>
    </font>
    <font>
      <b/>
      <sz val="16"/>
      <color indexed="10"/>
      <name val="微软雅黑"/>
      <charset val="134"/>
    </font>
    <font>
      <sz val="10"/>
      <name val="微软雅黑"/>
      <charset val="134"/>
    </font>
    <font>
      <b/>
      <sz val="10"/>
      <name val="微软雅黑"/>
      <charset val="134"/>
    </font>
    <font>
      <sz val="11"/>
      <name val="宋体"/>
      <charset val="134"/>
    </font>
    <font>
      <sz val="10"/>
      <color indexed="8"/>
      <name val="微软雅黑"/>
      <charset val="134"/>
    </font>
    <font>
      <sz val="11"/>
      <color indexed="8"/>
      <name val="宋体"/>
      <charset val="134"/>
    </font>
    <font>
      <b/>
      <sz val="11"/>
      <color indexed="8"/>
      <name val="宋体"/>
      <charset val="134"/>
    </font>
    <font>
      <sz val="10"/>
      <color indexed="10"/>
      <name val="微软雅黑"/>
      <charset val="134"/>
    </font>
    <font>
      <b/>
      <sz val="11"/>
      <name val="宋体"/>
      <charset val="134"/>
    </font>
    <font>
      <sz val="11"/>
      <color indexed="8"/>
      <name val="微软雅黑"/>
      <charset val="134"/>
    </font>
    <font>
      <sz val="11"/>
      <name val="微软雅黑"/>
      <charset val="134"/>
    </font>
    <font>
      <b/>
      <sz val="18"/>
      <color indexed="8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</fonts>
  <fills count="41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0" borderId="12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1" borderId="15" applyNumberFormat="0" applyAlignment="0" applyProtection="0">
      <alignment vertical="center"/>
    </xf>
    <xf numFmtId="0" fontId="22" fillId="12" borderId="16" applyNumberFormat="0" applyAlignment="0" applyProtection="0">
      <alignment vertical="center"/>
    </xf>
    <xf numFmtId="0" fontId="23" fillId="12" borderId="15" applyNumberFormat="0" applyAlignment="0" applyProtection="0">
      <alignment vertical="center"/>
    </xf>
    <xf numFmtId="0" fontId="24" fillId="13" borderId="17" applyNumberFormat="0" applyAlignment="0" applyProtection="0">
      <alignment vertical="center"/>
    </xf>
    <xf numFmtId="0" fontId="25" fillId="0" borderId="18" applyNumberFormat="0" applyFill="0" applyAlignment="0" applyProtection="0">
      <alignment vertical="center"/>
    </xf>
    <xf numFmtId="0" fontId="26" fillId="0" borderId="19" applyNumberFormat="0" applyFill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0" fillId="0" borderId="0">
      <alignment vertical="center"/>
    </xf>
    <xf numFmtId="0" fontId="32" fillId="0" borderId="0"/>
    <xf numFmtId="0" fontId="32" fillId="0" borderId="0"/>
  </cellStyleXfs>
  <cellXfs count="138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176" fontId="1" fillId="2" borderId="2" xfId="0" applyNumberFormat="1" applyFont="1" applyFill="1" applyBorder="1" applyAlignment="1">
      <alignment horizontal="center" vertical="center" wrapText="1"/>
    </xf>
    <xf numFmtId="0" fontId="2" fillId="0" borderId="2" xfId="50" applyFont="1" applyBorder="1" applyAlignment="1">
      <alignment horizontal="center" vertical="center" wrapText="1"/>
    </xf>
    <xf numFmtId="0" fontId="2" fillId="0" borderId="3" xfId="50" applyFont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176" fontId="3" fillId="2" borderId="4" xfId="0" applyNumberFormat="1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left" vertical="center" wrapText="1"/>
    </xf>
    <xf numFmtId="0" fontId="2" fillId="5" borderId="5" xfId="50" applyFont="1" applyFill="1" applyBorder="1" applyAlignment="1">
      <alignment horizontal="center" vertical="center" wrapText="1"/>
    </xf>
    <xf numFmtId="0" fontId="2" fillId="0" borderId="4" xfId="50" applyFont="1" applyFill="1" applyBorder="1" applyAlignment="1">
      <alignment horizontal="center" vertical="center" wrapText="1"/>
    </xf>
    <xf numFmtId="177" fontId="2" fillId="0" borderId="4" xfId="50" applyNumberFormat="1" applyFont="1" applyFill="1" applyBorder="1" applyAlignment="1">
      <alignment horizontal="center" vertical="center" wrapText="1"/>
    </xf>
    <xf numFmtId="176" fontId="2" fillId="0" borderId="4" xfId="50" applyNumberFormat="1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left" vertical="center" wrapText="1"/>
    </xf>
    <xf numFmtId="0" fontId="4" fillId="0" borderId="4" xfId="0" applyFont="1" applyFill="1" applyBorder="1">
      <alignment vertical="center"/>
    </xf>
    <xf numFmtId="0" fontId="2" fillId="5" borderId="6" xfId="50" applyFont="1" applyFill="1" applyBorder="1" applyAlignment="1">
      <alignment horizontal="center" vertical="center" wrapText="1"/>
    </xf>
    <xf numFmtId="0" fontId="3" fillId="0" borderId="4" xfId="50" applyFont="1" applyFill="1" applyBorder="1" applyAlignment="1">
      <alignment horizontal="center" vertical="center" wrapText="1"/>
    </xf>
    <xf numFmtId="177" fontId="3" fillId="0" borderId="4" xfId="50" applyNumberFormat="1" applyFont="1" applyFill="1" applyBorder="1" applyAlignment="1">
      <alignment horizontal="center" vertical="center" wrapText="1"/>
    </xf>
    <xf numFmtId="176" fontId="3" fillId="0" borderId="4" xfId="50" applyNumberFormat="1" applyFont="1" applyFill="1" applyBorder="1" applyAlignment="1">
      <alignment horizontal="center" vertical="center" wrapText="1"/>
    </xf>
    <xf numFmtId="0" fontId="2" fillId="5" borderId="7" xfId="50" applyFont="1" applyFill="1" applyBorder="1" applyAlignment="1">
      <alignment horizontal="center" vertical="center" wrapText="1"/>
    </xf>
    <xf numFmtId="0" fontId="2" fillId="6" borderId="4" xfId="50" applyFont="1" applyFill="1" applyBorder="1" applyAlignment="1">
      <alignment horizontal="center" vertical="center" wrapText="1"/>
    </xf>
    <xf numFmtId="0" fontId="0" fillId="6" borderId="4" xfId="0" applyFill="1" applyBorder="1" applyAlignment="1">
      <alignment vertical="center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176" fontId="4" fillId="0" borderId="4" xfId="50" applyNumberFormat="1" applyFont="1" applyBorder="1" applyAlignment="1">
      <alignment horizontal="center" vertical="center" wrapText="1"/>
    </xf>
    <xf numFmtId="178" fontId="2" fillId="0" borderId="4" xfId="50" applyNumberFormat="1" applyFont="1" applyFill="1" applyBorder="1" applyAlignment="1">
      <alignment horizontal="center" vertical="center" wrapText="1"/>
    </xf>
    <xf numFmtId="0" fontId="2" fillId="5" borderId="4" xfId="50" applyFont="1" applyFill="1" applyBorder="1" applyAlignment="1">
      <alignment horizontal="center" vertical="center" wrapText="1"/>
    </xf>
    <xf numFmtId="0" fontId="4" fillId="5" borderId="4" xfId="0" applyFont="1" applyFill="1" applyBorder="1">
      <alignment vertical="center"/>
    </xf>
    <xf numFmtId="0" fontId="2" fillId="0" borderId="4" xfId="50" applyFont="1" applyBorder="1" applyAlignment="1">
      <alignment horizontal="center" vertical="center" wrapText="1"/>
    </xf>
    <xf numFmtId="0" fontId="0" fillId="0" borderId="4" xfId="0" applyBorder="1">
      <alignment vertical="center"/>
    </xf>
    <xf numFmtId="0" fontId="0" fillId="0" borderId="4" xfId="0" applyFill="1" applyBorder="1">
      <alignment vertical="center"/>
    </xf>
    <xf numFmtId="0" fontId="0" fillId="0" borderId="0" xfId="0" applyFill="1" applyAlignment="1">
      <alignment vertical="center"/>
    </xf>
    <xf numFmtId="0" fontId="1" fillId="0" borderId="4" xfId="0" applyFont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2" fillId="5" borderId="4" xfId="51" applyFont="1" applyFill="1" applyBorder="1" applyAlignment="1">
      <alignment horizontal="left" vertical="center" wrapText="1"/>
    </xf>
    <xf numFmtId="0" fontId="5" fillId="0" borderId="4" xfId="0" applyFont="1" applyFill="1" applyBorder="1" applyAlignment="1">
      <alignment horizontal="left" vertical="center" wrapText="1"/>
    </xf>
    <xf numFmtId="0" fontId="2" fillId="7" borderId="4" xfId="50" applyFont="1" applyFill="1" applyBorder="1" applyAlignment="1">
      <alignment horizontal="center" vertical="center" wrapText="1"/>
    </xf>
    <xf numFmtId="0" fontId="0" fillId="4" borderId="0" xfId="0" applyFill="1">
      <alignment vertical="center"/>
    </xf>
    <xf numFmtId="0" fontId="0" fillId="2" borderId="0" xfId="0" applyFill="1" applyAlignment="1">
      <alignment horizontal="center" vertical="center"/>
    </xf>
    <xf numFmtId="0" fontId="0" fillId="2" borderId="0" xfId="0" applyFill="1">
      <alignment vertical="center"/>
    </xf>
    <xf numFmtId="0" fontId="1" fillId="4" borderId="2" xfId="0" applyFont="1" applyFill="1" applyBorder="1" applyAlignment="1">
      <alignment horizontal="center" vertical="center" wrapText="1"/>
    </xf>
    <xf numFmtId="176" fontId="1" fillId="0" borderId="2" xfId="0" applyNumberFormat="1" applyFont="1" applyFill="1" applyBorder="1" applyAlignment="1">
      <alignment horizontal="center" vertical="center" wrapText="1"/>
    </xf>
    <xf numFmtId="0" fontId="2" fillId="0" borderId="7" xfId="50" applyFont="1" applyFill="1" applyBorder="1" applyAlignment="1">
      <alignment horizontal="center" vertical="center" wrapText="1"/>
    </xf>
    <xf numFmtId="179" fontId="2" fillId="0" borderId="4" xfId="50" applyNumberFormat="1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vertical="center" wrapText="1"/>
    </xf>
    <xf numFmtId="176" fontId="4" fillId="0" borderId="4" xfId="50" applyNumberFormat="1" applyFont="1" applyFill="1" applyBorder="1" applyAlignment="1">
      <alignment horizontal="center" vertical="center" wrapText="1"/>
    </xf>
    <xf numFmtId="0" fontId="2" fillId="0" borderId="5" xfId="50" applyFont="1" applyFill="1" applyBorder="1" applyAlignment="1">
      <alignment horizontal="center" vertical="center" wrapText="1"/>
    </xf>
    <xf numFmtId="176" fontId="6" fillId="0" borderId="4" xfId="0" applyNumberFormat="1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4" xfId="0" applyFont="1" applyFill="1" applyBorder="1">
      <alignment vertical="center"/>
    </xf>
    <xf numFmtId="177" fontId="2" fillId="5" borderId="4" xfId="50" applyNumberFormat="1" applyFont="1" applyFill="1" applyBorder="1" applyAlignment="1">
      <alignment horizontal="center" vertical="center" wrapText="1"/>
    </xf>
    <xf numFmtId="0" fontId="5" fillId="0" borderId="0" xfId="0" applyFont="1" applyFill="1" applyAlignment="1">
      <alignment vertical="center" wrapText="1"/>
    </xf>
    <xf numFmtId="179" fontId="2" fillId="0" borderId="4" xfId="50" applyNumberFormat="1" applyFont="1" applyFill="1" applyBorder="1" applyAlignment="1">
      <alignment horizontal="left" vertical="center" wrapText="1"/>
    </xf>
    <xf numFmtId="0" fontId="2" fillId="0" borderId="4" xfId="0" applyFont="1" applyFill="1" applyBorder="1" applyAlignment="1">
      <alignment horizontal="center" vertical="center" wrapText="1"/>
    </xf>
    <xf numFmtId="176" fontId="4" fillId="0" borderId="4" xfId="50" applyNumberFormat="1" applyFont="1" applyFill="1" applyBorder="1" applyAlignment="1">
      <alignment horizontal="left" vertical="center" wrapText="1"/>
    </xf>
    <xf numFmtId="0" fontId="2" fillId="0" borderId="6" xfId="50" applyFont="1" applyFill="1" applyBorder="1" applyAlignment="1">
      <alignment horizontal="center" vertical="center" wrapText="1"/>
    </xf>
    <xf numFmtId="176" fontId="2" fillId="0" borderId="4" xfId="50" applyNumberFormat="1" applyFont="1" applyFill="1" applyBorder="1" applyAlignment="1">
      <alignment horizontal="left" vertical="center" wrapText="1"/>
    </xf>
    <xf numFmtId="0" fontId="0" fillId="6" borderId="4" xfId="0" applyFill="1" applyBorder="1">
      <alignment vertical="center"/>
    </xf>
    <xf numFmtId="0" fontId="2" fillId="4" borderId="4" xfId="50" applyFont="1" applyFill="1" applyBorder="1" applyAlignment="1">
      <alignment horizontal="center" vertical="center" wrapText="1"/>
    </xf>
    <xf numFmtId="0" fontId="2" fillId="2" borderId="4" xfId="5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2" fillId="0" borderId="4" xfId="50" applyFont="1" applyFill="1" applyBorder="1" applyAlignment="1">
      <alignment horizontal="left" vertical="center" wrapText="1"/>
    </xf>
    <xf numFmtId="0" fontId="7" fillId="0" borderId="4" xfId="0" applyFont="1" applyFill="1" applyBorder="1">
      <alignment vertical="center"/>
    </xf>
    <xf numFmtId="0" fontId="8" fillId="0" borderId="4" xfId="0" applyFont="1" applyFill="1" applyBorder="1" applyAlignment="1">
      <alignment horizontal="left" vertical="center" wrapText="1"/>
    </xf>
    <xf numFmtId="0" fontId="0" fillId="0" borderId="0" xfId="0" applyFill="1">
      <alignment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2" fillId="0" borderId="4" xfId="50" applyFont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176" fontId="6" fillId="0" borderId="0" xfId="0" applyNumberFormat="1" applyFont="1" applyFill="1" applyAlignment="1">
      <alignment horizontal="center" vertical="center"/>
    </xf>
    <xf numFmtId="176" fontId="9" fillId="3" borderId="4" xfId="0" applyNumberFormat="1" applyFont="1" applyFill="1" applyBorder="1" applyAlignment="1">
      <alignment horizontal="center" vertical="center" wrapText="1"/>
    </xf>
    <xf numFmtId="0" fontId="10" fillId="0" borderId="4" xfId="0" applyFont="1" applyFill="1" applyBorder="1">
      <alignment vertical="center"/>
    </xf>
    <xf numFmtId="176" fontId="4" fillId="0" borderId="4" xfId="51" applyNumberFormat="1" applyFont="1" applyFill="1" applyBorder="1" applyAlignment="1">
      <alignment horizontal="center" vertical="center" wrapText="1"/>
    </xf>
    <xf numFmtId="0" fontId="10" fillId="0" borderId="4" xfId="0" applyFont="1" applyFill="1" applyBorder="1" applyAlignment="1">
      <alignment vertical="center" wrapText="1"/>
    </xf>
    <xf numFmtId="0" fontId="5" fillId="0" borderId="7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0" fillId="0" borderId="4" xfId="0" applyFill="1" applyBorder="1" applyAlignment="1">
      <alignment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left" vertical="center" wrapText="1"/>
    </xf>
    <xf numFmtId="0" fontId="8" fillId="0" borderId="4" xfId="5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 wrapText="1"/>
    </xf>
    <xf numFmtId="0" fontId="2" fillId="0" borderId="4" xfId="50" applyFont="1" applyBorder="1" applyAlignment="1">
      <alignment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4" xfId="51" applyFont="1" applyFill="1" applyBorder="1" applyAlignment="1">
      <alignment horizontal="center" vertical="center" wrapText="1"/>
    </xf>
    <xf numFmtId="0" fontId="11" fillId="0" borderId="4" xfId="0" applyFont="1" applyFill="1" applyBorder="1" applyAlignment="1">
      <alignment horizontal="left" vertical="center" wrapText="1"/>
    </xf>
    <xf numFmtId="0" fontId="0" fillId="0" borderId="4" xfId="0" applyFill="1" applyBorder="1" applyAlignment="1">
      <alignment horizontal="center" vertical="center"/>
    </xf>
    <xf numFmtId="177" fontId="2" fillId="7" borderId="4" xfId="50" applyNumberFormat="1" applyFont="1" applyFill="1" applyBorder="1" applyAlignment="1">
      <alignment horizontal="center" vertical="center" wrapText="1"/>
    </xf>
    <xf numFmtId="0" fontId="0" fillId="4" borderId="0" xfId="0" applyFill="1" applyAlignment="1">
      <alignment vertical="center"/>
    </xf>
    <xf numFmtId="0" fontId="0" fillId="2" borderId="0" xfId="0" applyFill="1" applyAlignment="1">
      <alignment vertical="center"/>
    </xf>
    <xf numFmtId="0" fontId="2" fillId="5" borderId="3" xfId="51" applyFont="1" applyFill="1" applyBorder="1" applyAlignment="1">
      <alignment horizontal="left" vertical="center" wrapText="1"/>
    </xf>
    <xf numFmtId="0" fontId="2" fillId="5" borderId="1" xfId="51" applyFont="1" applyFill="1" applyBorder="1" applyAlignment="1">
      <alignment horizontal="left" vertical="center" wrapText="1"/>
    </xf>
    <xf numFmtId="0" fontId="2" fillId="5" borderId="2" xfId="51" applyFont="1" applyFill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0" fillId="0" borderId="4" xfId="0" applyBorder="1" applyAlignment="1">
      <alignment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8" borderId="4" xfId="0" applyFont="1" applyFill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2" fillId="5" borderId="3" xfId="50" applyFont="1" applyFill="1" applyBorder="1" applyAlignment="1">
      <alignment horizontal="center" vertical="center" wrapText="1"/>
    </xf>
    <xf numFmtId="0" fontId="2" fillId="8" borderId="4" xfId="5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8" borderId="4" xfId="0" applyFont="1" applyFill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2" fillId="6" borderId="8" xfId="50" applyFont="1" applyFill="1" applyBorder="1" applyAlignment="1">
      <alignment horizontal="center" vertical="center" wrapText="1"/>
    </xf>
    <xf numFmtId="0" fontId="2" fillId="6" borderId="9" xfId="50" applyFont="1" applyFill="1" applyBorder="1" applyAlignment="1">
      <alignment horizontal="center" vertical="center" wrapText="1"/>
    </xf>
    <xf numFmtId="0" fontId="2" fillId="6" borderId="7" xfId="50" applyFont="1" applyFill="1" applyBorder="1" applyAlignment="1">
      <alignment horizontal="center" vertical="center" wrapText="1"/>
    </xf>
    <xf numFmtId="0" fontId="10" fillId="0" borderId="5" xfId="0" applyFont="1" applyFill="1" applyBorder="1" applyAlignment="1">
      <alignment horizontal="center" vertical="center" wrapText="1"/>
    </xf>
    <xf numFmtId="0" fontId="3" fillId="9" borderId="4" xfId="50" applyFont="1" applyFill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 wrapText="1"/>
    </xf>
    <xf numFmtId="0" fontId="10" fillId="0" borderId="5" xfId="0" applyFont="1" applyFill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2" fillId="6" borderId="10" xfId="50" applyFont="1" applyFill="1" applyBorder="1" applyAlignment="1">
      <alignment horizontal="center" vertical="center" wrapText="1"/>
    </xf>
    <xf numFmtId="0" fontId="10" fillId="0" borderId="4" xfId="0" applyFont="1" applyFill="1" applyBorder="1" applyAlignment="1">
      <alignment horizontal="center" vertical="center"/>
    </xf>
    <xf numFmtId="0" fontId="3" fillId="9" borderId="11" xfId="50" applyFont="1" applyFill="1" applyBorder="1" applyAlignment="1">
      <alignment horizontal="center" vertical="center" wrapText="1"/>
    </xf>
    <xf numFmtId="0" fontId="3" fillId="9" borderId="10" xfId="50" applyFont="1" applyFill="1" applyBorder="1" applyAlignment="1">
      <alignment horizontal="center" vertical="center" wrapText="1"/>
    </xf>
    <xf numFmtId="0" fontId="3" fillId="9" borderId="6" xfId="5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2" fillId="0" borderId="6" xfId="50" applyFont="1" applyBorder="1" applyAlignment="1">
      <alignment horizontal="center" vertical="center" wrapText="1"/>
    </xf>
    <xf numFmtId="0" fontId="2" fillId="4" borderId="6" xfId="50" applyFont="1" applyFill="1" applyBorder="1" applyAlignment="1">
      <alignment horizontal="center" vertical="center" wrapText="1"/>
    </xf>
    <xf numFmtId="0" fontId="2" fillId="8" borderId="6" xfId="50" applyFont="1" applyFill="1" applyBorder="1" applyAlignment="1">
      <alignment horizontal="center" vertical="center" wrapText="1"/>
    </xf>
    <xf numFmtId="0" fontId="3" fillId="9" borderId="1" xfId="50" applyFont="1" applyFill="1" applyBorder="1" applyAlignment="1">
      <alignment horizontal="center" vertical="center" wrapText="1"/>
    </xf>
    <xf numFmtId="0" fontId="3" fillId="9" borderId="3" xfId="50" applyFont="1" applyFill="1" applyBorder="1" applyAlignment="1">
      <alignment horizontal="center" vertical="center" wrapText="1"/>
    </xf>
    <xf numFmtId="176" fontId="0" fillId="0" borderId="0" xfId="0" applyNumberFormat="1" applyFill="1">
      <alignment vertical="center"/>
    </xf>
    <xf numFmtId="0" fontId="0" fillId="0" borderId="0" xfId="0" applyAlignment="1">
      <alignment horizontal="left" vertical="center"/>
    </xf>
    <xf numFmtId="0" fontId="12" fillId="0" borderId="4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180" fontId="7" fillId="0" borderId="4" xfId="0" applyNumberFormat="1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 wrapText="1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_全部" xfId="50"/>
    <cellStyle name="常规_全部 3" xfId="51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9"/>
  <sheetViews>
    <sheetView workbookViewId="0">
      <selection activeCell="C27" sqref="C27"/>
    </sheetView>
  </sheetViews>
  <sheetFormatPr defaultColWidth="9" defaultRowHeight="13.5"/>
  <cols>
    <col min="1" max="1" width="13.875" customWidth="1"/>
    <col min="2" max="2" width="10.875" customWidth="1"/>
    <col min="3" max="3" width="13.5" customWidth="1"/>
    <col min="4" max="4" width="11.5" customWidth="1"/>
    <col min="5" max="6" width="11.25" customWidth="1"/>
    <col min="7" max="7" width="12.75" customWidth="1"/>
    <col min="8" max="8" width="14.125" customWidth="1"/>
    <col min="9" max="9" width="13.125" customWidth="1"/>
    <col min="10" max="11" width="10.75" customWidth="1"/>
    <col min="12" max="12" width="13" customWidth="1"/>
  </cols>
  <sheetData>
    <row r="1" ht="22.5" spans="1:12">
      <c r="A1" s="134" t="s">
        <v>0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</row>
    <row r="2" ht="17.1" customHeight="1" spans="1:12">
      <c r="A2" s="134"/>
      <c r="B2" s="134"/>
      <c r="C2" s="135" t="s">
        <v>1</v>
      </c>
      <c r="D2" s="135"/>
      <c r="E2" s="136">
        <v>45683</v>
      </c>
      <c r="F2" s="136"/>
      <c r="G2" s="134"/>
      <c r="H2" s="135" t="s">
        <v>1</v>
      </c>
      <c r="I2" s="135"/>
      <c r="J2" s="136">
        <v>45683</v>
      </c>
      <c r="K2" s="136"/>
      <c r="L2" s="134"/>
    </row>
    <row r="3" ht="16.5" spans="1:12">
      <c r="A3" s="137" t="s">
        <v>2</v>
      </c>
      <c r="B3" s="137" t="s">
        <v>3</v>
      </c>
      <c r="C3" s="137" t="s">
        <v>4</v>
      </c>
      <c r="D3" s="137" t="s">
        <v>5</v>
      </c>
      <c r="E3" s="137" t="s">
        <v>4</v>
      </c>
      <c r="F3" s="137" t="s">
        <v>5</v>
      </c>
      <c r="G3" s="137" t="s">
        <v>6</v>
      </c>
      <c r="H3" s="137" t="s">
        <v>7</v>
      </c>
      <c r="I3" s="137" t="s">
        <v>8</v>
      </c>
      <c r="J3" s="137" t="s">
        <v>9</v>
      </c>
      <c r="K3" s="137" t="s">
        <v>10</v>
      </c>
      <c r="L3" s="137" t="s">
        <v>11</v>
      </c>
    </row>
    <row r="4" ht="16.5" spans="1:12">
      <c r="A4" s="11" t="s">
        <v>12</v>
      </c>
      <c r="B4" s="11" t="s">
        <v>13</v>
      </c>
      <c r="C4" s="11">
        <f>'预计汇总（详细）'!D14</f>
        <v>0</v>
      </c>
      <c r="D4" s="11">
        <v>0</v>
      </c>
      <c r="E4" s="11">
        <v>0</v>
      </c>
      <c r="F4" s="11">
        <v>0</v>
      </c>
      <c r="G4" s="11">
        <v>0</v>
      </c>
      <c r="H4" s="11">
        <f>'预计汇总（详细）'!I14</f>
        <v>0</v>
      </c>
      <c r="I4" s="11">
        <f>'预计汇总（详细）'!J14</f>
        <v>0</v>
      </c>
      <c r="J4" s="11">
        <f>山东办事处!F83</f>
        <v>0</v>
      </c>
      <c r="K4" s="11">
        <f>山东办事处!G83</f>
        <v>0</v>
      </c>
      <c r="L4" s="11">
        <f>'预计汇总（详细）'!M14</f>
        <v>0</v>
      </c>
    </row>
    <row r="5" ht="16.5" spans="1:12">
      <c r="A5" s="11"/>
      <c r="B5" s="11" t="s">
        <v>14</v>
      </c>
      <c r="C5" s="11">
        <f>'预计汇总（详细）'!D15</f>
        <v>0</v>
      </c>
      <c r="D5" s="11">
        <f>'预计汇总（详细）'!E15</f>
        <v>0</v>
      </c>
      <c r="E5" s="11">
        <f>'预计汇总（详细）'!F15</f>
        <v>0</v>
      </c>
      <c r="F5" s="11">
        <f>'预计汇总（详细）'!G15</f>
        <v>0</v>
      </c>
      <c r="G5" s="11">
        <f>'预计汇总（详细）'!H15</f>
        <v>0</v>
      </c>
      <c r="H5" s="11">
        <f>'预计汇总（详细）'!I15</f>
        <v>0</v>
      </c>
      <c r="I5" s="11">
        <f>'预计汇总（详细）'!J15</f>
        <v>0</v>
      </c>
      <c r="J5" s="11">
        <f>山东办事处!F84</f>
        <v>0</v>
      </c>
      <c r="K5" s="11">
        <f>山东办事处!G84</f>
        <v>0</v>
      </c>
      <c r="L5" s="11">
        <f>'预计汇总（详细）'!M15</f>
        <v>0</v>
      </c>
    </row>
    <row r="6" ht="16.5" spans="1:12">
      <c r="A6" s="11"/>
      <c r="B6" s="11" t="s">
        <v>15</v>
      </c>
      <c r="C6" s="11">
        <f>'预计汇总（详细）'!D16</f>
        <v>0</v>
      </c>
      <c r="D6" s="11">
        <f>'预计汇总（详细）'!E16</f>
        <v>0</v>
      </c>
      <c r="E6" s="11">
        <f>'预计汇总（详细）'!F16</f>
        <v>0</v>
      </c>
      <c r="F6" s="11">
        <f>'预计汇总（详细）'!G16</f>
        <v>0</v>
      </c>
      <c r="G6" s="11">
        <f>'预计汇总（详细）'!H16</f>
        <v>0</v>
      </c>
      <c r="H6" s="11">
        <f>'预计汇总（详细）'!I16</f>
        <v>0</v>
      </c>
      <c r="I6" s="11">
        <f>'预计汇总（详细）'!J16</f>
        <v>0</v>
      </c>
      <c r="J6" s="11">
        <f>山东办事处!F85</f>
        <v>0</v>
      </c>
      <c r="K6" s="11">
        <f>山东办事处!G85</f>
        <v>0</v>
      </c>
      <c r="L6" s="11">
        <f>'预计汇总（详细）'!M16</f>
        <v>0</v>
      </c>
    </row>
    <row r="7" ht="16.5" spans="1:12">
      <c r="A7" s="17" t="s">
        <v>16</v>
      </c>
      <c r="B7" s="17"/>
      <c r="C7" s="17">
        <f t="shared" ref="C7:L7" si="0">SUM(C4:C6)</f>
        <v>0</v>
      </c>
      <c r="D7" s="17">
        <f t="shared" si="0"/>
        <v>0</v>
      </c>
      <c r="E7" s="17">
        <f t="shared" si="0"/>
        <v>0</v>
      </c>
      <c r="F7" s="17">
        <f t="shared" si="0"/>
        <v>0</v>
      </c>
      <c r="G7" s="17">
        <f t="shared" si="0"/>
        <v>0</v>
      </c>
      <c r="H7" s="17">
        <f t="shared" si="0"/>
        <v>0</v>
      </c>
      <c r="I7" s="17">
        <f t="shared" si="0"/>
        <v>0</v>
      </c>
      <c r="J7" s="17">
        <f t="shared" si="0"/>
        <v>0</v>
      </c>
      <c r="K7" s="17">
        <f t="shared" si="0"/>
        <v>0</v>
      </c>
      <c r="L7" s="17">
        <f t="shared" si="0"/>
        <v>0</v>
      </c>
    </row>
    <row r="8" ht="16.5" spans="1:12">
      <c r="A8" s="11" t="s">
        <v>17</v>
      </c>
      <c r="B8" s="11" t="s">
        <v>13</v>
      </c>
      <c r="C8" s="11">
        <f>'预计汇总（详细）'!D24</f>
        <v>0</v>
      </c>
      <c r="D8" s="11">
        <f>'预计汇总（详细）'!E24</f>
        <v>0</v>
      </c>
      <c r="E8" s="11">
        <f>天津子公司!F20</f>
        <v>0</v>
      </c>
      <c r="F8" s="11">
        <f>天津子公司!G20</f>
        <v>0</v>
      </c>
      <c r="G8" s="11">
        <f>'预计汇总（详细）'!H24</f>
        <v>0</v>
      </c>
      <c r="H8" s="11">
        <f>'预计汇总（详细）'!I24</f>
        <v>0</v>
      </c>
      <c r="I8" s="11">
        <f>'预计汇总（详细）'!J24</f>
        <v>0</v>
      </c>
      <c r="J8" s="11">
        <f>'预计汇总（详细）'!K24</f>
        <v>0</v>
      </c>
      <c r="K8" s="11">
        <f>'预计汇总（详细）'!L24</f>
        <v>0</v>
      </c>
      <c r="L8" s="11">
        <f>'预计汇总（详细）'!M24</f>
        <v>0</v>
      </c>
    </row>
    <row r="9" ht="16.5" spans="1:12">
      <c r="A9" s="11"/>
      <c r="B9" s="11" t="s">
        <v>14</v>
      </c>
      <c r="C9" s="11">
        <f>'预计汇总（详细）'!D25</f>
        <v>0</v>
      </c>
      <c r="D9" s="11">
        <f>'预计汇总（详细）'!E25</f>
        <v>0</v>
      </c>
      <c r="E9" s="11">
        <f>天津子公司!F21</f>
        <v>0</v>
      </c>
      <c r="F9" s="11">
        <f>天津子公司!G21</f>
        <v>0</v>
      </c>
      <c r="G9" s="11">
        <f>'预计汇总（详细）'!H25</f>
        <v>0</v>
      </c>
      <c r="H9" s="11">
        <f>'预计汇总（详细）'!I25</f>
        <v>0</v>
      </c>
      <c r="I9" s="11">
        <f>'预计汇总（详细）'!J25</f>
        <v>0</v>
      </c>
      <c r="J9" s="11">
        <f>'预计汇总（详细）'!K25</f>
        <v>0</v>
      </c>
      <c r="K9" s="11">
        <f>'预计汇总（详细）'!L25</f>
        <v>0</v>
      </c>
      <c r="L9" s="11">
        <f>'预计汇总（详细）'!M25</f>
        <v>0</v>
      </c>
    </row>
    <row r="10" ht="16.5" spans="1:12">
      <c r="A10" s="11"/>
      <c r="B10" s="11" t="s">
        <v>15</v>
      </c>
      <c r="C10" s="11">
        <f>'预计汇总（详细）'!D26</f>
        <v>0</v>
      </c>
      <c r="D10" s="11">
        <f>'预计汇总（详细）'!E26</f>
        <v>0</v>
      </c>
      <c r="E10" s="11">
        <f>天津子公司!F22</f>
        <v>0</v>
      </c>
      <c r="F10" s="11">
        <f>天津子公司!G22</f>
        <v>0</v>
      </c>
      <c r="G10" s="11">
        <f>'预计汇总（详细）'!H26</f>
        <v>0</v>
      </c>
      <c r="H10" s="11">
        <f>'预计汇总（详细）'!I26</f>
        <v>0</v>
      </c>
      <c r="I10" s="11">
        <f>'预计汇总（详细）'!J26</f>
        <v>0</v>
      </c>
      <c r="J10" s="11">
        <f>'预计汇总（详细）'!K26</f>
        <v>0</v>
      </c>
      <c r="K10" s="11">
        <f>'预计汇总（详细）'!L26</f>
        <v>0</v>
      </c>
      <c r="L10" s="11">
        <f>'预计汇总（详细）'!M26</f>
        <v>0</v>
      </c>
    </row>
    <row r="11" ht="16.5" spans="1:12">
      <c r="A11" s="17" t="s">
        <v>16</v>
      </c>
      <c r="B11" s="17"/>
      <c r="C11" s="17">
        <f t="shared" ref="C11:L11" si="1">SUM(C8:C10)</f>
        <v>0</v>
      </c>
      <c r="D11" s="17">
        <f t="shared" si="1"/>
        <v>0</v>
      </c>
      <c r="E11" s="17">
        <f t="shared" si="1"/>
        <v>0</v>
      </c>
      <c r="F11" s="17">
        <f t="shared" si="1"/>
        <v>0</v>
      </c>
      <c r="G11" s="17">
        <f t="shared" si="1"/>
        <v>0</v>
      </c>
      <c r="H11" s="17">
        <f t="shared" si="1"/>
        <v>0</v>
      </c>
      <c r="I11" s="17">
        <f t="shared" si="1"/>
        <v>0</v>
      </c>
      <c r="J11" s="17">
        <f t="shared" si="1"/>
        <v>0</v>
      </c>
      <c r="K11" s="17">
        <f t="shared" si="1"/>
        <v>0</v>
      </c>
      <c r="L11" s="17">
        <f t="shared" si="1"/>
        <v>0</v>
      </c>
    </row>
    <row r="12" ht="16.5" spans="1:12">
      <c r="A12" s="11" t="s">
        <v>18</v>
      </c>
      <c r="B12" s="11" t="s">
        <v>13</v>
      </c>
      <c r="C12" s="11">
        <f>'预计汇总（详细）'!D34</f>
        <v>0</v>
      </c>
      <c r="D12" s="11">
        <f>'预计汇总（详细）'!E34</f>
        <v>0</v>
      </c>
      <c r="E12" s="11">
        <f>徐州办事处!F35</f>
        <v>0</v>
      </c>
      <c r="F12" s="11">
        <f>徐州办事处!G35</f>
        <v>0</v>
      </c>
      <c r="G12" s="11">
        <f>'预计汇总（详细）'!H34</f>
        <v>0</v>
      </c>
      <c r="H12" s="11">
        <f>'预计汇总（详细）'!I34</f>
        <v>0</v>
      </c>
      <c r="I12" s="11">
        <f>'预计汇总（详细）'!J34</f>
        <v>0</v>
      </c>
      <c r="J12" s="11">
        <f>徐州办事处!F62</f>
        <v>0</v>
      </c>
      <c r="K12" s="11">
        <f>徐州办事处!G62</f>
        <v>0</v>
      </c>
      <c r="L12" s="11">
        <f>'预计汇总（详细）'!M34</f>
        <v>0</v>
      </c>
    </row>
    <row r="13" ht="16.5" spans="1:12">
      <c r="A13" s="11"/>
      <c r="B13" s="11" t="s">
        <v>14</v>
      </c>
      <c r="C13" s="11">
        <f>'预计汇总（详细）'!D35</f>
        <v>0</v>
      </c>
      <c r="D13" s="11">
        <f>'预计汇总（详细）'!E35</f>
        <v>0</v>
      </c>
      <c r="E13" s="11">
        <f>徐州办事处!F36</f>
        <v>0</v>
      </c>
      <c r="F13" s="11">
        <f>徐州办事处!G36</f>
        <v>0</v>
      </c>
      <c r="G13" s="11">
        <f>'预计汇总（详细）'!H35</f>
        <v>0</v>
      </c>
      <c r="H13" s="11">
        <f>'预计汇总（详细）'!I35</f>
        <v>0</v>
      </c>
      <c r="I13" s="11">
        <f>'预计汇总（详细）'!J35</f>
        <v>0</v>
      </c>
      <c r="J13" s="11">
        <f>徐州办事处!F63</f>
        <v>0</v>
      </c>
      <c r="K13" s="11">
        <f>徐州办事处!G63</f>
        <v>0</v>
      </c>
      <c r="L13" s="11">
        <f>'预计汇总（详细）'!M35</f>
        <v>0</v>
      </c>
    </row>
    <row r="14" ht="16.5" spans="1:12">
      <c r="A14" s="11"/>
      <c r="B14" s="11" t="s">
        <v>15</v>
      </c>
      <c r="C14" s="11">
        <f>'预计汇总（详细）'!D36</f>
        <v>0</v>
      </c>
      <c r="D14" s="11">
        <f>'预计汇总（详细）'!E36</f>
        <v>0</v>
      </c>
      <c r="E14" s="11">
        <f>徐州办事处!F37</f>
        <v>0</v>
      </c>
      <c r="F14" s="11">
        <f>徐州办事处!G37</f>
        <v>0</v>
      </c>
      <c r="G14" s="11">
        <f>'预计汇总（详细）'!H36</f>
        <v>0</v>
      </c>
      <c r="H14" s="11">
        <f>'预计汇总（详细）'!I36</f>
        <v>0</v>
      </c>
      <c r="I14" s="11">
        <f>'预计汇总（详细）'!J36</f>
        <v>0</v>
      </c>
      <c r="J14" s="11">
        <f>徐州办事处!F64</f>
        <v>0</v>
      </c>
      <c r="K14" s="11">
        <f>徐州办事处!G64</f>
        <v>0</v>
      </c>
      <c r="L14" s="11">
        <f>'预计汇总（详细）'!M36</f>
        <v>0</v>
      </c>
    </row>
    <row r="15" ht="16.5" spans="1:12">
      <c r="A15" s="17" t="s">
        <v>16</v>
      </c>
      <c r="B15" s="17"/>
      <c r="C15" s="17">
        <f t="shared" ref="C15:L15" si="2">SUM(C12:C14)</f>
        <v>0</v>
      </c>
      <c r="D15" s="17">
        <f t="shared" si="2"/>
        <v>0</v>
      </c>
      <c r="E15" s="17">
        <f t="shared" si="2"/>
        <v>0</v>
      </c>
      <c r="F15" s="17">
        <f t="shared" si="2"/>
        <v>0</v>
      </c>
      <c r="G15" s="17">
        <f t="shared" si="2"/>
        <v>0</v>
      </c>
      <c r="H15" s="17">
        <f t="shared" si="2"/>
        <v>0</v>
      </c>
      <c r="I15" s="17">
        <f t="shared" si="2"/>
        <v>0</v>
      </c>
      <c r="J15" s="17">
        <f t="shared" si="2"/>
        <v>0</v>
      </c>
      <c r="K15" s="17">
        <f t="shared" si="2"/>
        <v>0</v>
      </c>
      <c r="L15" s="17">
        <f t="shared" si="2"/>
        <v>0</v>
      </c>
    </row>
    <row r="16" ht="16.5" spans="1:12">
      <c r="A16" s="11" t="s">
        <v>16</v>
      </c>
      <c r="B16" s="11" t="s">
        <v>13</v>
      </c>
      <c r="C16" s="11">
        <f>'预计汇总（详细）'!D38</f>
        <v>0</v>
      </c>
      <c r="D16" s="11">
        <v>0</v>
      </c>
      <c r="E16" s="11">
        <f t="shared" ref="E16:F18" si="3">E4+E8+E12</f>
        <v>0</v>
      </c>
      <c r="F16" s="11">
        <f t="shared" si="3"/>
        <v>0</v>
      </c>
      <c r="G16" s="11">
        <f>'预计汇总（详细）'!H38</f>
        <v>0</v>
      </c>
      <c r="H16" s="11">
        <f>'预计汇总（详细）'!I38</f>
        <v>0</v>
      </c>
      <c r="I16" s="11">
        <f>'预计汇总（详细）'!J38</f>
        <v>0</v>
      </c>
      <c r="J16" s="11">
        <f t="shared" ref="J16:K18" si="4">J4+J8+J12</f>
        <v>0</v>
      </c>
      <c r="K16" s="11">
        <f t="shared" si="4"/>
        <v>0</v>
      </c>
      <c r="L16" s="11">
        <f>'预计汇总（详细）'!M38</f>
        <v>0</v>
      </c>
    </row>
    <row r="17" ht="16.5" spans="1:12">
      <c r="A17" s="11"/>
      <c r="B17" s="11" t="s">
        <v>14</v>
      </c>
      <c r="C17" s="11">
        <f>'预计汇总（详细）'!D39</f>
        <v>0</v>
      </c>
      <c r="D17" s="11">
        <f>'预计汇总（详细）'!E39</f>
        <v>0</v>
      </c>
      <c r="E17" s="11">
        <f t="shared" si="3"/>
        <v>0</v>
      </c>
      <c r="F17" s="11">
        <f t="shared" si="3"/>
        <v>0</v>
      </c>
      <c r="G17" s="11">
        <f>'预计汇总（详细）'!H39</f>
        <v>0</v>
      </c>
      <c r="H17" s="11">
        <f>'预计汇总（详细）'!I39</f>
        <v>0</v>
      </c>
      <c r="I17" s="11">
        <f>'预计汇总（详细）'!J39</f>
        <v>0</v>
      </c>
      <c r="J17" s="11">
        <f t="shared" si="4"/>
        <v>0</v>
      </c>
      <c r="K17" s="11">
        <f t="shared" si="4"/>
        <v>0</v>
      </c>
      <c r="L17" s="11">
        <f>'预计汇总（详细）'!M39</f>
        <v>0</v>
      </c>
    </row>
    <row r="18" ht="16.5" spans="1:12">
      <c r="A18" s="11"/>
      <c r="B18" s="11" t="s">
        <v>15</v>
      </c>
      <c r="C18" s="11">
        <f>'预计汇总（详细）'!D40</f>
        <v>0</v>
      </c>
      <c r="D18" s="11">
        <f>'预计汇总（详细）'!E40</f>
        <v>0</v>
      </c>
      <c r="E18" s="11">
        <f t="shared" si="3"/>
        <v>0</v>
      </c>
      <c r="F18" s="11">
        <f t="shared" si="3"/>
        <v>0</v>
      </c>
      <c r="G18" s="11">
        <f>'预计汇总（详细）'!H40</f>
        <v>0</v>
      </c>
      <c r="H18" s="11">
        <f>'预计汇总（详细）'!I40</f>
        <v>0</v>
      </c>
      <c r="I18" s="11">
        <f>'预计汇总（详细）'!J40</f>
        <v>0</v>
      </c>
      <c r="J18" s="11">
        <f t="shared" si="4"/>
        <v>0</v>
      </c>
      <c r="K18" s="11">
        <f t="shared" si="4"/>
        <v>0</v>
      </c>
      <c r="L18" s="11">
        <f>'预计汇总（详细）'!M40</f>
        <v>0</v>
      </c>
    </row>
    <row r="19" ht="16.5" spans="1:12">
      <c r="A19" s="17" t="s">
        <v>19</v>
      </c>
      <c r="B19" s="17"/>
      <c r="C19" s="17">
        <f t="shared" ref="C19:L19" si="5">SUM(C16:C18)</f>
        <v>0</v>
      </c>
      <c r="D19" s="17">
        <f t="shared" si="5"/>
        <v>0</v>
      </c>
      <c r="E19" s="17">
        <f t="shared" si="5"/>
        <v>0</v>
      </c>
      <c r="F19" s="17">
        <f t="shared" si="5"/>
        <v>0</v>
      </c>
      <c r="G19" s="17">
        <f t="shared" si="5"/>
        <v>0</v>
      </c>
      <c r="H19" s="17">
        <f t="shared" si="5"/>
        <v>0</v>
      </c>
      <c r="I19" s="17">
        <f t="shared" si="5"/>
        <v>0</v>
      </c>
      <c r="J19" s="17">
        <f t="shared" si="5"/>
        <v>0</v>
      </c>
      <c r="K19" s="17">
        <f t="shared" si="5"/>
        <v>0</v>
      </c>
      <c r="L19" s="17">
        <f t="shared" si="5"/>
        <v>0</v>
      </c>
    </row>
  </sheetData>
  <mergeCells count="13">
    <mergeCell ref="A1:L1"/>
    <mergeCell ref="C2:D2"/>
    <mergeCell ref="E2:F2"/>
    <mergeCell ref="H2:I2"/>
    <mergeCell ref="J2:K2"/>
    <mergeCell ref="A7:B7"/>
    <mergeCell ref="A11:B11"/>
    <mergeCell ref="A15:B15"/>
    <mergeCell ref="A19:B19"/>
    <mergeCell ref="A4:A6"/>
    <mergeCell ref="A8:A10"/>
    <mergeCell ref="A12:A14"/>
    <mergeCell ref="A16:A18"/>
  </mergeCells>
  <pageMargins left="2.32222222222222" right="0.75" top="1" bottom="1" header="0.5" footer="0.5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2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8.875" defaultRowHeight="16.5"/>
  <cols>
    <col min="1" max="1" width="11" customWidth="1"/>
    <col min="2" max="2" width="12.75" customWidth="1"/>
    <col min="3" max="3" width="9.5" customWidth="1"/>
    <col min="4" max="4" width="11.125" customWidth="1"/>
    <col min="5" max="5" width="11.25" customWidth="1"/>
    <col min="6" max="6" width="12.5" customWidth="1"/>
    <col min="7" max="7" width="13.25" customWidth="1"/>
    <col min="8" max="9" width="11.625" customWidth="1"/>
    <col min="10" max="10" width="11.375" customWidth="1"/>
    <col min="11" max="12" width="13.75" customWidth="1"/>
    <col min="13" max="13" width="11.625" customWidth="1"/>
    <col min="14" max="14" width="11.75" style="101" customWidth="1"/>
  </cols>
  <sheetData>
    <row r="1" spans="1:14">
      <c r="A1" s="102" t="s">
        <v>20</v>
      </c>
      <c r="B1" s="103" t="s">
        <v>21</v>
      </c>
      <c r="C1" s="6" t="s">
        <v>3</v>
      </c>
      <c r="D1" s="7" t="s">
        <v>22</v>
      </c>
      <c r="E1" s="7" t="s">
        <v>23</v>
      </c>
      <c r="F1" s="6" t="s">
        <v>4</v>
      </c>
      <c r="G1" s="6" t="s">
        <v>5</v>
      </c>
      <c r="H1" s="104" t="s">
        <v>6</v>
      </c>
      <c r="I1" s="7" t="s">
        <v>7</v>
      </c>
      <c r="J1" s="7" t="s">
        <v>8</v>
      </c>
      <c r="K1" s="6" t="s">
        <v>9</v>
      </c>
      <c r="L1" s="6" t="s">
        <v>10</v>
      </c>
      <c r="M1" s="104" t="s">
        <v>11</v>
      </c>
      <c r="N1"/>
    </row>
    <row r="2" spans="1:14">
      <c r="A2" s="105" t="s">
        <v>24</v>
      </c>
      <c r="B2" s="106" t="s">
        <v>25</v>
      </c>
      <c r="C2" s="27" t="s">
        <v>13</v>
      </c>
      <c r="D2" s="59">
        <f>山东办事处!D7</f>
        <v>0</v>
      </c>
      <c r="E2" s="59">
        <f>山东办事处!E7</f>
        <v>0</v>
      </c>
      <c r="F2" s="11">
        <f>山东办事处!F7</f>
        <v>0</v>
      </c>
      <c r="G2" s="11">
        <f>山东办事处!G7</f>
        <v>0</v>
      </c>
      <c r="H2" s="107">
        <f>山东办事处!H7</f>
        <v>0</v>
      </c>
      <c r="I2" s="108">
        <f>山东办事处!D47</f>
        <v>0</v>
      </c>
      <c r="J2" s="108">
        <f>山东办事处!E47</f>
        <v>0</v>
      </c>
      <c r="K2" s="84">
        <f>山东办事处!F47</f>
        <v>0</v>
      </c>
      <c r="L2" s="84">
        <f>山东办事处!G47</f>
        <v>0</v>
      </c>
      <c r="M2" s="109">
        <f>山东办事处!H47</f>
        <v>0</v>
      </c>
      <c r="N2"/>
    </row>
    <row r="3" spans="1:14">
      <c r="A3" s="110"/>
      <c r="B3" s="106"/>
      <c r="C3" s="27" t="s">
        <v>14</v>
      </c>
      <c r="D3" s="59">
        <f>山东办事处!D9</f>
        <v>0</v>
      </c>
      <c r="E3" s="59">
        <f>山东办事处!E8</f>
        <v>0</v>
      </c>
      <c r="F3" s="11">
        <f>山东办事处!F9</f>
        <v>0</v>
      </c>
      <c r="G3" s="11">
        <f>山东办事处!G9</f>
        <v>0</v>
      </c>
      <c r="H3" s="107">
        <f>山东办事处!H9</f>
        <v>0</v>
      </c>
      <c r="I3" s="108">
        <f>山东办事处!D49</f>
        <v>0</v>
      </c>
      <c r="J3" s="108">
        <f>山东办事处!E49</f>
        <v>0</v>
      </c>
      <c r="K3" s="84">
        <f>山东办事处!F49</f>
        <v>0</v>
      </c>
      <c r="L3" s="84">
        <f>山东办事处!G48</f>
        <v>0</v>
      </c>
      <c r="M3" s="109">
        <f>山东办事处!H49</f>
        <v>0</v>
      </c>
      <c r="N3"/>
    </row>
    <row r="4" spans="1:14">
      <c r="A4" s="110"/>
      <c r="B4" s="106"/>
      <c r="C4" s="27" t="s">
        <v>15</v>
      </c>
      <c r="D4" s="59">
        <f>山东办事处!D18</f>
        <v>0</v>
      </c>
      <c r="E4" s="59">
        <f>山东办事处!E9</f>
        <v>0</v>
      </c>
      <c r="F4" s="11">
        <f>山东办事处!F18</f>
        <v>0</v>
      </c>
      <c r="G4" s="11">
        <f>山东办事处!G11</f>
        <v>0</v>
      </c>
      <c r="H4" s="107">
        <f>山东办事处!H11</f>
        <v>0</v>
      </c>
      <c r="I4" s="108">
        <f>山东办事处!D51</f>
        <v>0</v>
      </c>
      <c r="J4" s="108">
        <f>山东办事处!E51</f>
        <v>0</v>
      </c>
      <c r="K4" s="84">
        <f>山东办事处!F51</f>
        <v>0</v>
      </c>
      <c r="L4" s="84">
        <f>山东办事处!G49</f>
        <v>0</v>
      </c>
      <c r="M4" s="109">
        <f>山东办事处!H51</f>
        <v>0</v>
      </c>
      <c r="N4"/>
    </row>
    <row r="5" spans="1:14">
      <c r="A5" s="110"/>
      <c r="B5" s="5" t="s">
        <v>26</v>
      </c>
      <c r="C5" s="27" t="s">
        <v>13</v>
      </c>
      <c r="D5" s="59">
        <f>山东办事处!D13</f>
        <v>0</v>
      </c>
      <c r="E5" s="59">
        <f>山东办事处!E13</f>
        <v>0</v>
      </c>
      <c r="F5" s="11">
        <f>山东办事处!F13</f>
        <v>0</v>
      </c>
      <c r="G5" s="11">
        <f>山东办事处!G13</f>
        <v>0</v>
      </c>
      <c r="H5" s="107">
        <f>山东办事处!H13</f>
        <v>0</v>
      </c>
      <c r="I5" s="108">
        <f>山东办事处!D56</f>
        <v>0</v>
      </c>
      <c r="J5" s="108">
        <f>山东办事处!E56</f>
        <v>0</v>
      </c>
      <c r="K5" s="84">
        <f>山东办事处!F56</f>
        <v>0</v>
      </c>
      <c r="L5" s="84">
        <f>山东办事处!G56</f>
        <v>0</v>
      </c>
      <c r="M5" s="109">
        <f>山东办事处!H56</f>
        <v>0</v>
      </c>
      <c r="N5"/>
    </row>
    <row r="6" spans="1:14">
      <c r="A6" s="110"/>
      <c r="B6" s="5"/>
      <c r="C6" s="27" t="s">
        <v>14</v>
      </c>
      <c r="D6" s="59">
        <f>山东办事处!D15</f>
        <v>0</v>
      </c>
      <c r="E6" s="59">
        <f>山东办事处!E15</f>
        <v>0</v>
      </c>
      <c r="F6" s="11">
        <f>山东办事处!F15</f>
        <v>0</v>
      </c>
      <c r="G6" s="11">
        <f>山东办事处!G15</f>
        <v>0</v>
      </c>
      <c r="H6" s="107">
        <f>山东办事处!H15</f>
        <v>0</v>
      </c>
      <c r="I6" s="108">
        <f>山东办事处!D58</f>
        <v>0</v>
      </c>
      <c r="J6" s="108">
        <f>山东办事处!E58</f>
        <v>0</v>
      </c>
      <c r="K6" s="84">
        <f>山东办事处!F58</f>
        <v>0</v>
      </c>
      <c r="L6" s="84">
        <f>山东办事处!G57</f>
        <v>0</v>
      </c>
      <c r="M6" s="109">
        <f>山东办事处!H58</f>
        <v>0</v>
      </c>
      <c r="N6"/>
    </row>
    <row r="7" spans="1:14">
      <c r="A7" s="110"/>
      <c r="B7" s="5"/>
      <c r="C7" s="27" t="s">
        <v>15</v>
      </c>
      <c r="D7" s="59">
        <f>山东办事处!D18</f>
        <v>0</v>
      </c>
      <c r="E7" s="59">
        <f>山东办事处!E18</f>
        <v>0</v>
      </c>
      <c r="F7" s="11">
        <f>山东办事处!F18</f>
        <v>0</v>
      </c>
      <c r="G7" s="11">
        <f>山东办事处!G18</f>
        <v>0</v>
      </c>
      <c r="H7" s="107">
        <f>山东办事处!H18</f>
        <v>0</v>
      </c>
      <c r="I7" s="108">
        <f>山东办事处!D62</f>
        <v>0</v>
      </c>
      <c r="J7" s="108">
        <f>山东办事处!E62</f>
        <v>0</v>
      </c>
      <c r="K7" s="84">
        <f>山东办事处!F62</f>
        <v>0</v>
      </c>
      <c r="L7" s="84">
        <f>山东办事处!G62</f>
        <v>0</v>
      </c>
      <c r="M7" s="109">
        <f>山东办事处!H62</f>
        <v>0</v>
      </c>
      <c r="N7"/>
    </row>
    <row r="8" spans="1:14">
      <c r="A8" s="110"/>
      <c r="B8" s="5" t="s">
        <v>27</v>
      </c>
      <c r="C8" s="27" t="s">
        <v>13</v>
      </c>
      <c r="D8" s="59">
        <f>山东办事处!D22</f>
        <v>0</v>
      </c>
      <c r="E8" s="59">
        <f>山东办事处!E22</f>
        <v>0</v>
      </c>
      <c r="F8" s="11">
        <f>山东办事处!F22</f>
        <v>0</v>
      </c>
      <c r="G8" s="11">
        <f>山东办事处!G22</f>
        <v>0</v>
      </c>
      <c r="H8" s="107">
        <f>山东办事处!H22</f>
        <v>0</v>
      </c>
      <c r="I8" s="108">
        <f>山东办事处!D68</f>
        <v>0</v>
      </c>
      <c r="J8" s="108">
        <f>山东办事处!E68</f>
        <v>0</v>
      </c>
      <c r="K8" s="84">
        <f>山东办事处!F68</f>
        <v>0</v>
      </c>
      <c r="L8" s="84">
        <f>山东办事处!G68</f>
        <v>0</v>
      </c>
      <c r="M8" s="109">
        <f>山东办事处!H68</f>
        <v>0</v>
      </c>
      <c r="N8"/>
    </row>
    <row r="9" spans="1:14">
      <c r="A9" s="110"/>
      <c r="B9" s="5"/>
      <c r="C9" s="27" t="s">
        <v>14</v>
      </c>
      <c r="D9" s="59">
        <f>山东办事处!D24</f>
        <v>0</v>
      </c>
      <c r="E9" s="59">
        <f>山东办事处!E24</f>
        <v>0</v>
      </c>
      <c r="F9" s="11">
        <f>山东办事处!F24</f>
        <v>0</v>
      </c>
      <c r="G9" s="11">
        <f>山东办事处!G24</f>
        <v>0</v>
      </c>
      <c r="H9" s="107">
        <f>山东办事处!H24</f>
        <v>0</v>
      </c>
      <c r="I9" s="108">
        <f>山东办事处!D70</f>
        <v>0</v>
      </c>
      <c r="J9" s="108">
        <f>山东办事处!E70</f>
        <v>0</v>
      </c>
      <c r="K9" s="84">
        <f>山东办事处!F70</f>
        <v>0</v>
      </c>
      <c r="L9" s="84">
        <f>山东办事处!G70</f>
        <v>0</v>
      </c>
      <c r="M9" s="109">
        <f>山东办事处!H70</f>
        <v>0</v>
      </c>
      <c r="N9"/>
    </row>
    <row r="10" spans="1:14">
      <c r="A10" s="110"/>
      <c r="B10" s="5"/>
      <c r="C10" s="27" t="s">
        <v>15</v>
      </c>
      <c r="D10" s="59">
        <f>山东办事处!D27</f>
        <v>0</v>
      </c>
      <c r="E10" s="59">
        <f>山东办事处!E27</f>
        <v>0</v>
      </c>
      <c r="F10" s="11">
        <f>山东办事处!F27</f>
        <v>0</v>
      </c>
      <c r="G10" s="11">
        <f>山东办事处!G27</f>
        <v>0</v>
      </c>
      <c r="H10" s="107">
        <f>山东办事处!H27</f>
        <v>0</v>
      </c>
      <c r="I10" s="108">
        <f>山东办事处!D73</f>
        <v>0</v>
      </c>
      <c r="J10" s="108">
        <f>山东办事处!E73</f>
        <v>0</v>
      </c>
      <c r="K10" s="84">
        <f>山东办事处!F73</f>
        <v>0</v>
      </c>
      <c r="L10" s="84">
        <f>山东办事处!G73</f>
        <v>0</v>
      </c>
      <c r="M10" s="109">
        <f>山东办事处!H73</f>
        <v>0</v>
      </c>
      <c r="N10"/>
    </row>
    <row r="11" spans="1:14">
      <c r="A11" s="110"/>
      <c r="B11" s="5" t="s">
        <v>28</v>
      </c>
      <c r="C11" s="27" t="s">
        <v>13</v>
      </c>
      <c r="D11" s="59">
        <f>山东办事处!D31</f>
        <v>0</v>
      </c>
      <c r="E11" s="59">
        <f>山东办事处!E31</f>
        <v>0</v>
      </c>
      <c r="F11" s="11">
        <f>山东办事处!F31</f>
        <v>0</v>
      </c>
      <c r="G11" s="11">
        <f>山东办事处!G31</f>
        <v>0</v>
      </c>
      <c r="H11" s="107">
        <f>山东办事处!H31</f>
        <v>0</v>
      </c>
      <c r="I11" s="108">
        <f>山东办事处!D77</f>
        <v>0</v>
      </c>
      <c r="J11" s="108">
        <f>山东办事处!E77</f>
        <v>0</v>
      </c>
      <c r="K11" s="84">
        <f>山东办事处!F77</f>
        <v>0</v>
      </c>
      <c r="L11" s="84">
        <f>山东办事处!G77</f>
        <v>0</v>
      </c>
      <c r="M11" s="109">
        <f>山东办事处!H77</f>
        <v>0</v>
      </c>
      <c r="N11"/>
    </row>
    <row r="12" spans="1:14">
      <c r="A12" s="110"/>
      <c r="B12" s="5"/>
      <c r="C12" s="27" t="s">
        <v>14</v>
      </c>
      <c r="D12" s="59">
        <f>山东办事处!D33</f>
        <v>0</v>
      </c>
      <c r="E12" s="59">
        <f>山东办事处!E33</f>
        <v>0</v>
      </c>
      <c r="F12" s="11">
        <f>山东办事处!F33</f>
        <v>0</v>
      </c>
      <c r="G12" s="11">
        <f>山东办事处!G33</f>
        <v>0</v>
      </c>
      <c r="H12" s="107">
        <f>山东办事处!H33</f>
        <v>0</v>
      </c>
      <c r="I12" s="108">
        <f>山东办事处!D79</f>
        <v>0</v>
      </c>
      <c r="J12" s="108">
        <f>山东办事处!E79</f>
        <v>0</v>
      </c>
      <c r="K12" s="84">
        <f>山东办事处!F79</f>
        <v>0</v>
      </c>
      <c r="L12" s="84">
        <f>山东办事处!G79</f>
        <v>0</v>
      </c>
      <c r="M12" s="109">
        <f>山东办事处!H79</f>
        <v>0</v>
      </c>
      <c r="N12"/>
    </row>
    <row r="13" spans="1:14">
      <c r="A13" s="110"/>
      <c r="B13" s="5"/>
      <c r="C13" s="27" t="s">
        <v>15</v>
      </c>
      <c r="D13" s="59">
        <f>山东办事处!D35</f>
        <v>0</v>
      </c>
      <c r="E13" s="59">
        <f>山东办事处!E35</f>
        <v>0</v>
      </c>
      <c r="F13" s="11">
        <f>山东办事处!F35</f>
        <v>0</v>
      </c>
      <c r="G13" s="11">
        <f>山东办事处!G35</f>
        <v>0</v>
      </c>
      <c r="H13" s="107">
        <f>山东办事处!H35</f>
        <v>0</v>
      </c>
      <c r="I13" s="108">
        <f>山东办事处!D82</f>
        <v>0</v>
      </c>
      <c r="J13" s="108">
        <f>山东办事处!E82</f>
        <v>0</v>
      </c>
      <c r="K13" s="84">
        <f>山东办事处!F82</f>
        <v>0</v>
      </c>
      <c r="L13" s="84">
        <f>山东办事处!G82</f>
        <v>0</v>
      </c>
      <c r="M13" s="109">
        <f>山东办事处!H82</f>
        <v>0</v>
      </c>
      <c r="N13"/>
    </row>
    <row r="14" spans="1:14">
      <c r="A14" s="110"/>
      <c r="B14" s="111" t="s">
        <v>12</v>
      </c>
      <c r="C14" s="21" t="s">
        <v>13</v>
      </c>
      <c r="D14" s="59">
        <f t="shared" ref="D14:M14" si="0">D2+D5+D8+D11</f>
        <v>0</v>
      </c>
      <c r="E14" s="59">
        <f t="shared" si="0"/>
        <v>0</v>
      </c>
      <c r="F14" s="21">
        <f t="shared" si="0"/>
        <v>0</v>
      </c>
      <c r="G14" s="21">
        <f t="shared" si="0"/>
        <v>0</v>
      </c>
      <c r="H14" s="107">
        <f t="shared" si="0"/>
        <v>0</v>
      </c>
      <c r="I14" s="59">
        <f t="shared" si="0"/>
        <v>0</v>
      </c>
      <c r="J14" s="59">
        <f t="shared" si="0"/>
        <v>0</v>
      </c>
      <c r="K14" s="21">
        <f t="shared" si="0"/>
        <v>0</v>
      </c>
      <c r="L14" s="21">
        <f t="shared" si="0"/>
        <v>0</v>
      </c>
      <c r="M14" s="109">
        <f t="shared" si="0"/>
        <v>0</v>
      </c>
      <c r="N14"/>
    </row>
    <row r="15" spans="1:14">
      <c r="A15" s="110"/>
      <c r="B15" s="112"/>
      <c r="C15" s="21" t="s">
        <v>14</v>
      </c>
      <c r="D15" s="59">
        <f t="shared" ref="D15:M15" si="1">D3+D6+D9+D12</f>
        <v>0</v>
      </c>
      <c r="E15" s="59">
        <f t="shared" si="1"/>
        <v>0</v>
      </c>
      <c r="F15" s="21">
        <f t="shared" si="1"/>
        <v>0</v>
      </c>
      <c r="G15" s="21">
        <f t="shared" si="1"/>
        <v>0</v>
      </c>
      <c r="H15" s="107">
        <f t="shared" si="1"/>
        <v>0</v>
      </c>
      <c r="I15" s="59">
        <f t="shared" si="1"/>
        <v>0</v>
      </c>
      <c r="J15" s="59">
        <f t="shared" si="1"/>
        <v>0</v>
      </c>
      <c r="K15" s="21">
        <f t="shared" si="1"/>
        <v>0</v>
      </c>
      <c r="L15" s="21">
        <f t="shared" si="1"/>
        <v>0</v>
      </c>
      <c r="M15" s="109">
        <f t="shared" si="1"/>
        <v>0</v>
      </c>
      <c r="N15"/>
    </row>
    <row r="16" spans="1:14">
      <c r="A16" s="110"/>
      <c r="B16" s="112"/>
      <c r="C16" s="113" t="s">
        <v>15</v>
      </c>
      <c r="D16" s="59">
        <f t="shared" ref="D16:M16" si="2">D4+D7+D10+D13</f>
        <v>0</v>
      </c>
      <c r="E16" s="59">
        <f t="shared" si="2"/>
        <v>0</v>
      </c>
      <c r="F16" s="21">
        <f t="shared" si="2"/>
        <v>0</v>
      </c>
      <c r="G16" s="21">
        <f t="shared" si="2"/>
        <v>0</v>
      </c>
      <c r="H16" s="107">
        <f t="shared" si="2"/>
        <v>0</v>
      </c>
      <c r="I16" s="59">
        <f t="shared" si="2"/>
        <v>0</v>
      </c>
      <c r="J16" s="59">
        <f t="shared" si="2"/>
        <v>0</v>
      </c>
      <c r="K16" s="21">
        <f t="shared" si="2"/>
        <v>0</v>
      </c>
      <c r="L16" s="21">
        <f t="shared" si="2"/>
        <v>0</v>
      </c>
      <c r="M16" s="109">
        <f t="shared" si="2"/>
        <v>0</v>
      </c>
      <c r="N16"/>
    </row>
    <row r="17" s="65" customFormat="1" spans="1:14">
      <c r="A17" s="114"/>
      <c r="B17" s="115" t="s">
        <v>16</v>
      </c>
      <c r="C17" s="115"/>
      <c r="D17" s="115">
        <f>SUM(D14:D16)</f>
        <v>0</v>
      </c>
      <c r="E17" s="115">
        <f t="shared" ref="D17:M17" si="3">SUM(E14:E16)</f>
        <v>0</v>
      </c>
      <c r="F17" s="115">
        <f t="shared" si="3"/>
        <v>0</v>
      </c>
      <c r="G17" s="115">
        <f t="shared" si="3"/>
        <v>0</v>
      </c>
      <c r="H17" s="115">
        <f t="shared" si="3"/>
        <v>0</v>
      </c>
      <c r="I17" s="115">
        <f t="shared" si="3"/>
        <v>0</v>
      </c>
      <c r="J17" s="115">
        <f t="shared" si="3"/>
        <v>0</v>
      </c>
      <c r="K17" s="115">
        <f t="shared" si="3"/>
        <v>0</v>
      </c>
      <c r="L17" s="115">
        <f t="shared" si="3"/>
        <v>0</v>
      </c>
      <c r="M17" s="115">
        <f t="shared" si="3"/>
        <v>0</v>
      </c>
    </row>
    <row r="18" spans="1:14">
      <c r="A18" s="116" t="s">
        <v>29</v>
      </c>
      <c r="B18" s="5" t="s">
        <v>30</v>
      </c>
      <c r="C18" s="27" t="s">
        <v>13</v>
      </c>
      <c r="D18" s="59">
        <f>天津子公司!D14</f>
        <v>0</v>
      </c>
      <c r="E18" s="59">
        <f>天津子公司!E14</f>
        <v>0</v>
      </c>
      <c r="F18" s="11">
        <f>天津子公司!F14</f>
        <v>0</v>
      </c>
      <c r="G18" s="11">
        <f>天津子公司!G14</f>
        <v>0</v>
      </c>
      <c r="H18" s="107">
        <f>天津子公司!H14</f>
        <v>0</v>
      </c>
      <c r="I18" s="108">
        <f>天津子公司!D27</f>
        <v>0</v>
      </c>
      <c r="J18" s="108">
        <f>天津子公司!E27</f>
        <v>0</v>
      </c>
      <c r="K18" s="84">
        <f>天津子公司!F27</f>
        <v>0</v>
      </c>
      <c r="L18" s="84">
        <f>天津子公司!G27</f>
        <v>0</v>
      </c>
      <c r="M18" s="109">
        <f>天津子公司!H27</f>
        <v>0</v>
      </c>
      <c r="N18"/>
    </row>
    <row r="19" spans="1:14">
      <c r="A19" s="117"/>
      <c r="B19" s="5"/>
      <c r="C19" s="27" t="s">
        <v>14</v>
      </c>
      <c r="D19" s="59">
        <f>天津子公司!D16</f>
        <v>0</v>
      </c>
      <c r="E19" s="59">
        <f>天津子公司!E16</f>
        <v>0</v>
      </c>
      <c r="F19" s="11">
        <f>天津子公司!F16</f>
        <v>0</v>
      </c>
      <c r="G19" s="11">
        <f>天津子公司!G16</f>
        <v>0</v>
      </c>
      <c r="H19" s="107">
        <f>天津子公司!H16</f>
        <v>0</v>
      </c>
      <c r="I19" s="108">
        <f>天津子公司!D29</f>
        <v>0</v>
      </c>
      <c r="J19" s="108">
        <f>天津子公司!E29</f>
        <v>0</v>
      </c>
      <c r="K19" s="84">
        <f>天津子公司!F29</f>
        <v>0</v>
      </c>
      <c r="L19" s="84">
        <f>天津子公司!G29</f>
        <v>0</v>
      </c>
      <c r="M19" s="109">
        <f>天津子公司!H29</f>
        <v>0</v>
      </c>
      <c r="N19"/>
    </row>
    <row r="20" spans="1:14">
      <c r="A20" s="117"/>
      <c r="B20" s="5"/>
      <c r="C20" s="27" t="s">
        <v>15</v>
      </c>
      <c r="D20" s="59">
        <f>天津子公司!D19</f>
        <v>0</v>
      </c>
      <c r="E20" s="59">
        <f>天津子公司!E19</f>
        <v>0</v>
      </c>
      <c r="F20" s="11">
        <f>天津子公司!F19</f>
        <v>0</v>
      </c>
      <c r="G20" s="11">
        <f>天津子公司!G19</f>
        <v>0</v>
      </c>
      <c r="H20" s="107">
        <f>天津子公司!H19</f>
        <v>0</v>
      </c>
      <c r="I20" s="108">
        <f>天津子公司!D32</f>
        <v>0</v>
      </c>
      <c r="J20" s="108">
        <f>天津子公司!E32</f>
        <v>0</v>
      </c>
      <c r="K20" s="84">
        <f>天津子公司!F32</f>
        <v>0</v>
      </c>
      <c r="L20" s="84">
        <f>天津子公司!G32</f>
        <v>0</v>
      </c>
      <c r="M20" s="109">
        <f>天津子公司!H32</f>
        <v>0</v>
      </c>
      <c r="N20"/>
    </row>
    <row r="21" spans="1:14">
      <c r="A21" s="117"/>
      <c r="B21" s="5" t="s">
        <v>31</v>
      </c>
      <c r="C21" s="27" t="s">
        <v>13</v>
      </c>
      <c r="D21" s="59">
        <f>天津子公司!D5</f>
        <v>0</v>
      </c>
      <c r="E21" s="59">
        <f>天津子公司!E5</f>
        <v>0</v>
      </c>
      <c r="F21" s="11">
        <f>天津子公司!F5</f>
        <v>0</v>
      </c>
      <c r="G21" s="11">
        <f>天津子公司!G5</f>
        <v>0</v>
      </c>
      <c r="H21" s="107">
        <f>天津子公司!H5</f>
        <v>0</v>
      </c>
      <c r="I21" s="108">
        <f>天津子公司!D35</f>
        <v>0</v>
      </c>
      <c r="J21" s="108">
        <f>天津子公司!E35</f>
        <v>0</v>
      </c>
      <c r="K21" s="84">
        <f>天津子公司!F35</f>
        <v>0</v>
      </c>
      <c r="L21" s="84">
        <f>天津子公司!G35</f>
        <v>0</v>
      </c>
      <c r="M21" s="109">
        <f>天津子公司!H35</f>
        <v>0</v>
      </c>
      <c r="N21"/>
    </row>
    <row r="22" spans="1:14">
      <c r="A22" s="117"/>
      <c r="B22" s="5"/>
      <c r="C22" s="27" t="s">
        <v>14</v>
      </c>
      <c r="D22" s="59">
        <f>天津子公司!D7</f>
        <v>0</v>
      </c>
      <c r="E22" s="59">
        <f>天津子公司!E7</f>
        <v>0</v>
      </c>
      <c r="F22" s="11">
        <f>天津子公司!F7</f>
        <v>0</v>
      </c>
      <c r="G22" s="11">
        <f>天津子公司!G7</f>
        <v>0</v>
      </c>
      <c r="H22" s="107">
        <f>天津子公司!H7</f>
        <v>0</v>
      </c>
      <c r="I22" s="108">
        <f>天津子公司!D37</f>
        <v>0</v>
      </c>
      <c r="J22" s="108">
        <f>天津子公司!E37</f>
        <v>0</v>
      </c>
      <c r="K22" s="84">
        <f>天津子公司!F37</f>
        <v>0</v>
      </c>
      <c r="L22" s="84">
        <f>天津子公司!G37</f>
        <v>0</v>
      </c>
      <c r="M22" s="109">
        <f>天津子公司!H37</f>
        <v>0</v>
      </c>
      <c r="N22"/>
    </row>
    <row r="23" spans="1:14">
      <c r="A23" s="117"/>
      <c r="B23" s="5"/>
      <c r="C23" s="27" t="s">
        <v>15</v>
      </c>
      <c r="D23" s="59">
        <f>天津子公司!D10</f>
        <v>0</v>
      </c>
      <c r="E23" s="59">
        <f>天津子公司!E10</f>
        <v>0</v>
      </c>
      <c r="F23" s="11">
        <f>天津子公司!F10</f>
        <v>0</v>
      </c>
      <c r="G23" s="11">
        <f>天津子公司!G10</f>
        <v>0</v>
      </c>
      <c r="H23" s="107">
        <f>天津子公司!H10</f>
        <v>0</v>
      </c>
      <c r="I23" s="108">
        <f>天津子公司!D40</f>
        <v>0</v>
      </c>
      <c r="J23" s="108">
        <f>天津子公司!E40</f>
        <v>0</v>
      </c>
      <c r="K23" s="84">
        <f>天津子公司!F40</f>
        <v>0</v>
      </c>
      <c r="L23" s="84">
        <f>天津子公司!G40</f>
        <v>0</v>
      </c>
      <c r="M23" s="109">
        <f>天津子公司!H40</f>
        <v>0</v>
      </c>
      <c r="N23"/>
    </row>
    <row r="24" spans="1:14">
      <c r="A24" s="117"/>
      <c r="B24" s="111" t="s">
        <v>17</v>
      </c>
      <c r="C24" s="21" t="s">
        <v>13</v>
      </c>
      <c r="D24" s="59">
        <f t="shared" ref="D24:E26" si="4">D18+D21</f>
        <v>0</v>
      </c>
      <c r="E24" s="59">
        <f t="shared" si="4"/>
        <v>0</v>
      </c>
      <c r="F24" s="21">
        <f t="shared" ref="F24:M24" si="5">F18+F21</f>
        <v>0</v>
      </c>
      <c r="G24" s="21">
        <f t="shared" si="5"/>
        <v>0</v>
      </c>
      <c r="H24" s="107">
        <f t="shared" si="5"/>
        <v>0</v>
      </c>
      <c r="I24" s="108">
        <f t="shared" si="5"/>
        <v>0</v>
      </c>
      <c r="J24" s="108">
        <f t="shared" si="5"/>
        <v>0</v>
      </c>
      <c r="K24" s="118">
        <f t="shared" si="5"/>
        <v>0</v>
      </c>
      <c r="L24" s="118">
        <f t="shared" si="5"/>
        <v>0</v>
      </c>
      <c r="M24" s="109">
        <f t="shared" si="5"/>
        <v>0</v>
      </c>
      <c r="N24"/>
    </row>
    <row r="25" spans="1:14">
      <c r="A25" s="117"/>
      <c r="B25" s="112"/>
      <c r="C25" s="21" t="s">
        <v>14</v>
      </c>
      <c r="D25" s="59">
        <f t="shared" si="4"/>
        <v>0</v>
      </c>
      <c r="E25" s="59">
        <f t="shared" si="4"/>
        <v>0</v>
      </c>
      <c r="F25" s="21">
        <f t="shared" ref="F25:M25" si="6">F19+F22</f>
        <v>0</v>
      </c>
      <c r="G25" s="21">
        <f t="shared" si="6"/>
        <v>0</v>
      </c>
      <c r="H25" s="107">
        <f t="shared" si="6"/>
        <v>0</v>
      </c>
      <c r="I25" s="108">
        <f t="shared" si="6"/>
        <v>0</v>
      </c>
      <c r="J25" s="108">
        <f t="shared" si="6"/>
        <v>0</v>
      </c>
      <c r="K25" s="118">
        <f t="shared" si="6"/>
        <v>0</v>
      </c>
      <c r="L25" s="118">
        <f t="shared" si="6"/>
        <v>0</v>
      </c>
      <c r="M25" s="109">
        <f t="shared" si="6"/>
        <v>0</v>
      </c>
      <c r="N25"/>
    </row>
    <row r="26" spans="1:14">
      <c r="A26" s="117"/>
      <c r="B26" s="112"/>
      <c r="C26" s="113" t="s">
        <v>15</v>
      </c>
      <c r="D26" s="59">
        <f t="shared" si="4"/>
        <v>0</v>
      </c>
      <c r="E26" s="59">
        <f t="shared" si="4"/>
        <v>0</v>
      </c>
      <c r="F26" s="21">
        <f t="shared" ref="F26:M26" si="7">F20+F23</f>
        <v>0</v>
      </c>
      <c r="G26" s="21">
        <f t="shared" si="7"/>
        <v>0</v>
      </c>
      <c r="H26" s="107">
        <f t="shared" si="7"/>
        <v>0</v>
      </c>
      <c r="I26" s="108">
        <f t="shared" si="7"/>
        <v>0</v>
      </c>
      <c r="J26" s="108">
        <f t="shared" si="7"/>
        <v>0</v>
      </c>
      <c r="K26" s="118">
        <f t="shared" si="7"/>
        <v>0</v>
      </c>
      <c r="L26" s="118">
        <f t="shared" si="7"/>
        <v>0</v>
      </c>
      <c r="M26" s="109">
        <f t="shared" si="7"/>
        <v>0</v>
      </c>
      <c r="N26"/>
    </row>
    <row r="27" s="65" customFormat="1" spans="1:14">
      <c r="A27" s="119"/>
      <c r="B27" s="115" t="s">
        <v>16</v>
      </c>
      <c r="C27" s="115"/>
      <c r="D27" s="115">
        <f>SUM(D24:D26)</f>
        <v>0</v>
      </c>
      <c r="E27" s="115">
        <f>SUM(E24:E26)</f>
        <v>0</v>
      </c>
      <c r="F27" s="115">
        <f t="shared" ref="F27:M27" si="8">SUM(F24:F26)</f>
        <v>0</v>
      </c>
      <c r="G27" s="115">
        <f t="shared" si="8"/>
        <v>0</v>
      </c>
      <c r="H27" s="115">
        <f t="shared" si="8"/>
        <v>0</v>
      </c>
      <c r="I27" s="115">
        <f t="shared" si="8"/>
        <v>0</v>
      </c>
      <c r="J27" s="115">
        <f t="shared" si="8"/>
        <v>0</v>
      </c>
      <c r="K27" s="115">
        <f t="shared" si="8"/>
        <v>0</v>
      </c>
      <c r="L27" s="115">
        <f t="shared" si="8"/>
        <v>0</v>
      </c>
      <c r="M27" s="115">
        <f t="shared" si="8"/>
        <v>0</v>
      </c>
    </row>
    <row r="28" spans="1:14">
      <c r="A28" s="120" t="s">
        <v>32</v>
      </c>
      <c r="B28" s="5" t="s">
        <v>33</v>
      </c>
      <c r="C28" s="27" t="s">
        <v>13</v>
      </c>
      <c r="D28" s="59">
        <f>徐州办事处!D28</f>
        <v>0</v>
      </c>
      <c r="E28" s="59">
        <f>徐州办事处!E28</f>
        <v>0</v>
      </c>
      <c r="F28" s="11">
        <f>徐州办事处!F28</f>
        <v>0</v>
      </c>
      <c r="G28" s="11">
        <f>徐州办事处!G28</f>
        <v>0</v>
      </c>
      <c r="H28" s="107">
        <f>徐州办事处!H28</f>
        <v>0</v>
      </c>
      <c r="I28" s="108">
        <f>徐州办事处!D56</f>
        <v>0</v>
      </c>
      <c r="J28" s="108">
        <f>徐州办事处!E56</f>
        <v>0</v>
      </c>
      <c r="K28" s="84">
        <f>徐州办事处!F56</f>
        <v>0</v>
      </c>
      <c r="L28" s="84">
        <f>徐州办事处!G56</f>
        <v>0</v>
      </c>
      <c r="M28" s="109">
        <f>徐州办事处!H56</f>
        <v>0</v>
      </c>
      <c r="N28"/>
    </row>
    <row r="29" spans="1:14">
      <c r="A29" s="120"/>
      <c r="B29" s="5"/>
      <c r="C29" s="27" t="s">
        <v>14</v>
      </c>
      <c r="D29" s="59">
        <f>徐州办事处!D31</f>
        <v>0</v>
      </c>
      <c r="E29" s="59">
        <f>徐州办事处!E31</f>
        <v>0</v>
      </c>
      <c r="F29" s="11">
        <f>徐州办事处!F31</f>
        <v>0</v>
      </c>
      <c r="G29" s="11">
        <f>徐州办事处!G31</f>
        <v>0</v>
      </c>
      <c r="H29" s="107">
        <f>徐州办事处!H31</f>
        <v>0</v>
      </c>
      <c r="I29" s="108">
        <f>徐州办事处!D58</f>
        <v>0</v>
      </c>
      <c r="J29" s="108">
        <f>徐州办事处!E58</f>
        <v>0</v>
      </c>
      <c r="K29" s="84">
        <f>徐州办事处!F58</f>
        <v>0</v>
      </c>
      <c r="L29" s="84">
        <f>徐州办事处!G58</f>
        <v>0</v>
      </c>
      <c r="M29" s="109">
        <f>徐州办事处!H58</f>
        <v>0</v>
      </c>
      <c r="N29"/>
    </row>
    <row r="30" spans="1:14">
      <c r="A30" s="120"/>
      <c r="B30" s="5"/>
      <c r="C30" s="27" t="s">
        <v>15</v>
      </c>
      <c r="D30" s="59">
        <f>徐州办事处!D34</f>
        <v>0</v>
      </c>
      <c r="E30" s="59">
        <f>徐州办事处!E34</f>
        <v>0</v>
      </c>
      <c r="F30" s="11">
        <f>徐州办事处!F34</f>
        <v>0</v>
      </c>
      <c r="G30" s="11">
        <f>徐州办事处!G34</f>
        <v>0</v>
      </c>
      <c r="H30" s="107">
        <f>徐州办事处!H34</f>
        <v>0</v>
      </c>
      <c r="I30" s="108">
        <f>徐州办事处!D61</f>
        <v>0</v>
      </c>
      <c r="J30" s="108">
        <f>徐州办事处!E61</f>
        <v>0</v>
      </c>
      <c r="K30" s="84">
        <f>徐州办事处!F61</f>
        <v>0</v>
      </c>
      <c r="L30" s="84">
        <f>徐州办事处!G61</f>
        <v>0</v>
      </c>
      <c r="M30" s="109">
        <f>徐州办事处!H61</f>
        <v>0</v>
      </c>
      <c r="N30"/>
    </row>
    <row r="31" spans="1:14">
      <c r="A31" s="120"/>
      <c r="B31" s="5" t="s">
        <v>34</v>
      </c>
      <c r="C31" s="27" t="s">
        <v>13</v>
      </c>
      <c r="D31" s="59">
        <f>徐州办事处!D5</f>
        <v>0</v>
      </c>
      <c r="E31" s="59">
        <f>徐州办事处!E5</f>
        <v>0</v>
      </c>
      <c r="F31" s="11">
        <f>徐州办事处!F5</f>
        <v>0</v>
      </c>
      <c r="G31" s="11">
        <f>徐州办事处!G5</f>
        <v>0</v>
      </c>
      <c r="H31" s="107">
        <f>徐州办事处!H5</f>
        <v>0</v>
      </c>
      <c r="I31" s="108">
        <f>徐州办事处!D42</f>
        <v>0</v>
      </c>
      <c r="J31" s="108">
        <f>徐州办事处!E42</f>
        <v>0</v>
      </c>
      <c r="K31" s="84">
        <f>徐州办事处!F42</f>
        <v>0</v>
      </c>
      <c r="L31" s="84">
        <f>徐州办事处!G42</f>
        <v>0</v>
      </c>
      <c r="M31" s="109">
        <f>徐州办事处!H42</f>
        <v>0</v>
      </c>
      <c r="N31"/>
    </row>
    <row r="32" spans="1:14">
      <c r="A32" s="120"/>
      <c r="B32" s="5"/>
      <c r="C32" s="27" t="s">
        <v>14</v>
      </c>
      <c r="D32" s="59">
        <f>徐州办事处!D8</f>
        <v>0</v>
      </c>
      <c r="E32" s="59">
        <f>徐州办事处!E8</f>
        <v>0</v>
      </c>
      <c r="F32" s="11">
        <f>徐州办事处!F8</f>
        <v>0</v>
      </c>
      <c r="G32" s="11">
        <f>徐州办事处!G8</f>
        <v>0</v>
      </c>
      <c r="H32" s="107">
        <f>徐州办事处!H8</f>
        <v>0</v>
      </c>
      <c r="I32" s="108">
        <f>徐州办事处!D44</f>
        <v>0</v>
      </c>
      <c r="J32" s="108">
        <f>徐州办事处!E44</f>
        <v>0</v>
      </c>
      <c r="K32" s="84">
        <f>徐州办事处!F44</f>
        <v>0</v>
      </c>
      <c r="L32" s="84">
        <f>徐州办事处!G44</f>
        <v>0</v>
      </c>
      <c r="M32" s="109">
        <f>徐州办事处!H44</f>
        <v>0</v>
      </c>
      <c r="N32"/>
    </row>
    <row r="33" spans="1:14">
      <c r="A33" s="120"/>
      <c r="B33" s="5"/>
      <c r="C33" s="27" t="s">
        <v>15</v>
      </c>
      <c r="D33" s="59">
        <f>徐州办事处!D26</f>
        <v>0</v>
      </c>
      <c r="E33" s="59">
        <f>徐州办事处!E26</f>
        <v>0</v>
      </c>
      <c r="F33" s="11">
        <f>徐州办事处!F26</f>
        <v>0</v>
      </c>
      <c r="G33" s="11">
        <f>徐州办事处!G26</f>
        <v>0</v>
      </c>
      <c r="H33" s="107">
        <f>徐州办事处!H26</f>
        <v>0</v>
      </c>
      <c r="I33" s="108">
        <f>徐州办事处!D53</f>
        <v>0</v>
      </c>
      <c r="J33" s="108">
        <f>徐州办事处!E53</f>
        <v>0</v>
      </c>
      <c r="K33" s="84">
        <f>徐州办事处!F53</f>
        <v>0</v>
      </c>
      <c r="L33" s="84">
        <f>徐州办事处!G53</f>
        <v>0</v>
      </c>
      <c r="M33" s="109">
        <f>徐州办事处!H53</f>
        <v>0</v>
      </c>
      <c r="N33"/>
    </row>
    <row r="34" spans="1:14">
      <c r="A34" s="120"/>
      <c r="B34" s="111" t="s">
        <v>18</v>
      </c>
      <c r="C34" s="21" t="s">
        <v>13</v>
      </c>
      <c r="D34" s="59">
        <f t="shared" ref="D34:M34" si="9">D28+D31</f>
        <v>0</v>
      </c>
      <c r="E34" s="59">
        <f t="shared" si="9"/>
        <v>0</v>
      </c>
      <c r="F34" s="21">
        <f t="shared" si="9"/>
        <v>0</v>
      </c>
      <c r="G34" s="21">
        <f t="shared" si="9"/>
        <v>0</v>
      </c>
      <c r="H34" s="107">
        <f t="shared" si="9"/>
        <v>0</v>
      </c>
      <c r="I34" s="59">
        <f t="shared" si="9"/>
        <v>0</v>
      </c>
      <c r="J34" s="59">
        <f t="shared" si="9"/>
        <v>0</v>
      </c>
      <c r="K34" s="21">
        <f t="shared" si="9"/>
        <v>0</v>
      </c>
      <c r="L34" s="21">
        <f t="shared" si="9"/>
        <v>0</v>
      </c>
      <c r="M34" s="107">
        <f t="shared" si="9"/>
        <v>0</v>
      </c>
      <c r="N34"/>
    </row>
    <row r="35" spans="1:14">
      <c r="A35" s="120"/>
      <c r="B35" s="112"/>
      <c r="C35" s="21" t="s">
        <v>14</v>
      </c>
      <c r="D35" s="59">
        <f t="shared" ref="D35:M35" si="10">D29+D32</f>
        <v>0</v>
      </c>
      <c r="E35" s="59">
        <f t="shared" si="10"/>
        <v>0</v>
      </c>
      <c r="F35" s="21">
        <f t="shared" si="10"/>
        <v>0</v>
      </c>
      <c r="G35" s="21">
        <f t="shared" si="10"/>
        <v>0</v>
      </c>
      <c r="H35" s="107">
        <f t="shared" si="10"/>
        <v>0</v>
      </c>
      <c r="I35" s="59">
        <f t="shared" si="10"/>
        <v>0</v>
      </c>
      <c r="J35" s="59">
        <f t="shared" si="10"/>
        <v>0</v>
      </c>
      <c r="K35" s="21">
        <f t="shared" si="10"/>
        <v>0</v>
      </c>
      <c r="L35" s="21">
        <f t="shared" si="10"/>
        <v>0</v>
      </c>
      <c r="M35" s="107">
        <f t="shared" si="10"/>
        <v>0</v>
      </c>
      <c r="N35"/>
    </row>
    <row r="36" spans="1:14">
      <c r="A36" s="120"/>
      <c r="B36" s="121"/>
      <c r="C36" s="21" t="s">
        <v>15</v>
      </c>
      <c r="D36" s="59">
        <f t="shared" ref="D36:M36" si="11">D30+D33</f>
        <v>0</v>
      </c>
      <c r="E36" s="59">
        <f t="shared" si="11"/>
        <v>0</v>
      </c>
      <c r="F36" s="21">
        <f t="shared" si="11"/>
        <v>0</v>
      </c>
      <c r="G36" s="21">
        <f t="shared" si="11"/>
        <v>0</v>
      </c>
      <c r="H36" s="107">
        <f t="shared" si="11"/>
        <v>0</v>
      </c>
      <c r="I36" s="59">
        <f t="shared" si="11"/>
        <v>0</v>
      </c>
      <c r="J36" s="59">
        <f t="shared" si="11"/>
        <v>0</v>
      </c>
      <c r="K36" s="21">
        <f t="shared" si="11"/>
        <v>0</v>
      </c>
      <c r="L36" s="21">
        <f t="shared" si="11"/>
        <v>0</v>
      </c>
      <c r="M36" s="107">
        <f t="shared" si="11"/>
        <v>0</v>
      </c>
      <c r="N36"/>
    </row>
    <row r="37" s="65" customFormat="1" spans="1:14">
      <c r="A37" s="122"/>
      <c r="B37" s="123" t="s">
        <v>16</v>
      </c>
      <c r="C37" s="124"/>
      <c r="D37" s="125">
        <f t="shared" ref="D37:M37" si="12">SUM(D34:D36)</f>
        <v>0</v>
      </c>
      <c r="E37" s="125">
        <f t="shared" si="12"/>
        <v>0</v>
      </c>
      <c r="F37" s="125">
        <f t="shared" si="12"/>
        <v>0</v>
      </c>
      <c r="G37" s="125">
        <f t="shared" si="12"/>
        <v>0</v>
      </c>
      <c r="H37" s="125">
        <f t="shared" si="12"/>
        <v>0</v>
      </c>
      <c r="I37" s="125">
        <f t="shared" si="12"/>
        <v>0</v>
      </c>
      <c r="J37" s="125">
        <f t="shared" si="12"/>
        <v>0</v>
      </c>
      <c r="K37" s="125">
        <f t="shared" si="12"/>
        <v>0</v>
      </c>
      <c r="L37" s="125">
        <f t="shared" si="12"/>
        <v>0</v>
      </c>
      <c r="M37" s="125">
        <f t="shared" si="12"/>
        <v>0</v>
      </c>
    </row>
    <row r="38" spans="1:14">
      <c r="A38" s="126"/>
      <c r="B38" s="127" t="s">
        <v>16</v>
      </c>
      <c r="C38" s="16" t="s">
        <v>13</v>
      </c>
      <c r="D38" s="128">
        <f>D14+D24+D34</f>
        <v>0</v>
      </c>
      <c r="E38" s="128">
        <f t="shared" ref="D38:E40" si="13">E14+E24+E34</f>
        <v>0</v>
      </c>
      <c r="F38" s="127">
        <f t="shared" ref="F38:M38" si="14">F14+F24+F34</f>
        <v>0</v>
      </c>
      <c r="G38" s="127">
        <f t="shared" si="14"/>
        <v>0</v>
      </c>
      <c r="H38" s="129">
        <f t="shared" si="14"/>
        <v>0</v>
      </c>
      <c r="I38" s="128">
        <f t="shared" si="14"/>
        <v>0</v>
      </c>
      <c r="J38" s="128">
        <f t="shared" si="14"/>
        <v>0</v>
      </c>
      <c r="K38" s="127">
        <f t="shared" si="14"/>
        <v>0</v>
      </c>
      <c r="L38" s="127">
        <f t="shared" si="14"/>
        <v>0</v>
      </c>
      <c r="M38" s="107">
        <f t="shared" si="14"/>
        <v>0</v>
      </c>
      <c r="N38"/>
    </row>
    <row r="39" spans="1:14">
      <c r="A39" s="126"/>
      <c r="B39" s="29"/>
      <c r="C39" s="27" t="s">
        <v>14</v>
      </c>
      <c r="D39" s="128">
        <f t="shared" si="13"/>
        <v>0</v>
      </c>
      <c r="E39" s="128">
        <f t="shared" si="13"/>
        <v>0</v>
      </c>
      <c r="F39" s="127">
        <f t="shared" ref="F39:M39" si="15">F15+F25+F35</f>
        <v>0</v>
      </c>
      <c r="G39" s="127">
        <f t="shared" si="15"/>
        <v>0</v>
      </c>
      <c r="H39" s="129">
        <f t="shared" si="15"/>
        <v>0</v>
      </c>
      <c r="I39" s="128">
        <f t="shared" si="15"/>
        <v>0</v>
      </c>
      <c r="J39" s="128">
        <f t="shared" si="15"/>
        <v>0</v>
      </c>
      <c r="K39" s="127">
        <f t="shared" si="15"/>
        <v>0</v>
      </c>
      <c r="L39" s="127">
        <f t="shared" si="15"/>
        <v>0</v>
      </c>
      <c r="M39" s="107">
        <f t="shared" si="15"/>
        <v>0</v>
      </c>
      <c r="N39"/>
    </row>
    <row r="40" spans="1:14">
      <c r="A40" s="126"/>
      <c r="B40" s="29"/>
      <c r="C40" s="27" t="s">
        <v>15</v>
      </c>
      <c r="D40" s="128">
        <f t="shared" si="13"/>
        <v>0</v>
      </c>
      <c r="E40" s="128">
        <f t="shared" si="13"/>
        <v>0</v>
      </c>
      <c r="F40" s="127">
        <f t="shared" ref="F40:M40" si="16">F16+F26+F36</f>
        <v>0</v>
      </c>
      <c r="G40" s="127">
        <f t="shared" si="16"/>
        <v>0</v>
      </c>
      <c r="H40" s="129">
        <f t="shared" si="16"/>
        <v>0</v>
      </c>
      <c r="I40" s="128">
        <f t="shared" si="16"/>
        <v>0</v>
      </c>
      <c r="J40" s="128">
        <f t="shared" si="16"/>
        <v>0</v>
      </c>
      <c r="K40" s="127">
        <f t="shared" si="16"/>
        <v>0</v>
      </c>
      <c r="L40" s="127">
        <f t="shared" si="16"/>
        <v>0</v>
      </c>
      <c r="M40" s="107">
        <f t="shared" si="16"/>
        <v>0</v>
      </c>
      <c r="N40"/>
    </row>
    <row r="41" s="65" customFormat="1" spans="1:14">
      <c r="A41" s="94"/>
      <c r="B41" s="130" t="s">
        <v>19</v>
      </c>
      <c r="C41" s="131"/>
      <c r="D41" s="115">
        <f t="shared" ref="D41:M41" si="17">SUM(D38:D40)</f>
        <v>0</v>
      </c>
      <c r="E41" s="115">
        <f t="shared" si="17"/>
        <v>0</v>
      </c>
      <c r="F41" s="115">
        <f t="shared" si="17"/>
        <v>0</v>
      </c>
      <c r="G41" s="115">
        <f t="shared" si="17"/>
        <v>0</v>
      </c>
      <c r="H41" s="115">
        <f t="shared" si="17"/>
        <v>0</v>
      </c>
      <c r="I41" s="115">
        <f t="shared" si="17"/>
        <v>0</v>
      </c>
      <c r="J41" s="115">
        <f t="shared" si="17"/>
        <v>0</v>
      </c>
      <c r="K41" s="115">
        <f t="shared" si="17"/>
        <v>0</v>
      </c>
      <c r="L41" s="115">
        <f t="shared" si="17"/>
        <v>0</v>
      </c>
      <c r="M41" s="115">
        <f t="shared" si="17"/>
        <v>0</v>
      </c>
    </row>
    <row r="42" spans="1:14">
      <c r="K42" s="132"/>
      <c r="L42" s="132"/>
      <c r="M42" s="133"/>
    </row>
  </sheetData>
  <mergeCells count="20">
    <mergeCell ref="B17:C17"/>
    <mergeCell ref="B27:C27"/>
    <mergeCell ref="B37:C37"/>
    <mergeCell ref="B41:C41"/>
    <mergeCell ref="A2:A17"/>
    <mergeCell ref="A18:A27"/>
    <mergeCell ref="A28:A37"/>
    <mergeCell ref="A38:A41"/>
    <mergeCell ref="B2:B4"/>
    <mergeCell ref="B5:B7"/>
    <mergeCell ref="B8:B10"/>
    <mergeCell ref="B11:B13"/>
    <mergeCell ref="B14:B16"/>
    <mergeCell ref="B18:B20"/>
    <mergeCell ref="B21:B23"/>
    <mergeCell ref="B24:B26"/>
    <mergeCell ref="B28:B30"/>
    <mergeCell ref="B31:B33"/>
    <mergeCell ref="B34:B36"/>
    <mergeCell ref="B38:B40"/>
  </mergeCells>
  <pageMargins left="0.75" right="0.75" top="1" bottom="1" header="0.5" footer="0.5"/>
  <pageSetup paperSize="9" scale="86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0"/>
  <sheetViews>
    <sheetView workbookViewId="0">
      <selection activeCell="E9" sqref="E9"/>
    </sheetView>
  </sheetViews>
  <sheetFormatPr defaultColWidth="9" defaultRowHeight="13.5"/>
  <cols>
    <col min="1" max="1" width="13.875" customWidth="1"/>
    <col min="2" max="2" width="13.5" customWidth="1"/>
    <col min="3" max="3" width="19.5" customWidth="1"/>
    <col min="4" max="4" width="16.2416666666667" style="38" customWidth="1"/>
    <col min="5" max="5" width="15.7916666666667" style="38" customWidth="1"/>
    <col min="6" max="6" width="13" customWidth="1"/>
    <col min="7" max="7" width="12.75" customWidth="1"/>
    <col min="8" max="8" width="16.125" style="40" customWidth="1"/>
    <col min="9" max="9" width="12.625" style="39" customWidth="1"/>
    <col min="10" max="10" width="38.875" customWidth="1"/>
    <col min="11" max="11" width="15.375" customWidth="1"/>
  </cols>
  <sheetData>
    <row r="1" ht="22.5" spans="1:11">
      <c r="A1" s="1" t="s">
        <v>35</v>
      </c>
      <c r="B1" s="2"/>
      <c r="C1" s="2"/>
      <c r="D1" s="41"/>
      <c r="E1" s="41"/>
      <c r="F1" s="2"/>
      <c r="G1" s="2"/>
      <c r="H1" s="3"/>
      <c r="I1" s="42"/>
      <c r="J1" s="4" t="s">
        <v>36</v>
      </c>
      <c r="K1" s="78"/>
    </row>
    <row r="2" ht="16.5" spans="1:11">
      <c r="A2" s="6" t="s">
        <v>21</v>
      </c>
      <c r="B2" s="6" t="s">
        <v>37</v>
      </c>
      <c r="C2" s="6" t="s">
        <v>38</v>
      </c>
      <c r="D2" s="7" t="s">
        <v>39</v>
      </c>
      <c r="E2" s="7" t="s">
        <v>40</v>
      </c>
      <c r="F2" s="6" t="s">
        <v>4</v>
      </c>
      <c r="G2" s="6" t="s">
        <v>5</v>
      </c>
      <c r="H2" s="8" t="s">
        <v>6</v>
      </c>
      <c r="I2" s="8" t="s">
        <v>41</v>
      </c>
      <c r="J2" s="9" t="s">
        <v>42</v>
      </c>
      <c r="K2" s="79" t="s">
        <v>43</v>
      </c>
    </row>
    <row r="3" s="65" customFormat="1" ht="16.5" spans="1:11">
      <c r="A3" s="11" t="s">
        <v>25</v>
      </c>
      <c r="B3" s="11" t="s">
        <v>13</v>
      </c>
      <c r="C3" s="11"/>
      <c r="D3" s="63"/>
      <c r="E3" s="12">
        <v>0</v>
      </c>
      <c r="F3" s="12"/>
      <c r="G3" s="12"/>
      <c r="H3" s="13"/>
      <c r="I3" s="11"/>
      <c r="J3" s="80"/>
      <c r="K3" s="81"/>
    </row>
    <row r="4" s="65" customFormat="1" ht="16.5" spans="1:11">
      <c r="A4" s="11"/>
      <c r="B4" s="11"/>
      <c r="C4" s="11"/>
      <c r="D4" s="63"/>
      <c r="E4" s="12"/>
      <c r="F4" s="63"/>
      <c r="G4" s="12"/>
      <c r="H4" s="13"/>
      <c r="I4" s="11"/>
      <c r="J4" s="82"/>
      <c r="K4" s="44"/>
    </row>
    <row r="5" s="65" customFormat="1" ht="16.5" spans="1:11">
      <c r="A5" s="11"/>
      <c r="B5" s="11"/>
      <c r="C5" s="11"/>
      <c r="D5" s="11"/>
      <c r="E5" s="12"/>
      <c r="F5" s="12"/>
      <c r="G5" s="12"/>
      <c r="H5" s="13"/>
      <c r="I5" s="11"/>
      <c r="J5" s="80"/>
      <c r="K5" s="81"/>
    </row>
    <row r="6" s="65" customFormat="1" ht="16.5" spans="1:11">
      <c r="A6" s="11"/>
      <c r="B6" s="11"/>
      <c r="C6" s="11"/>
      <c r="D6" s="31"/>
      <c r="E6" s="12"/>
      <c r="F6" s="12"/>
      <c r="G6" s="12"/>
      <c r="H6" s="12"/>
      <c r="I6" s="11"/>
      <c r="J6" s="80"/>
      <c r="K6" s="81"/>
    </row>
    <row r="7" s="65" customFormat="1" ht="16.5" spans="1:11">
      <c r="A7" s="11"/>
      <c r="B7" s="11"/>
      <c r="C7" s="17" t="s">
        <v>16</v>
      </c>
      <c r="D7" s="18">
        <f>SUM(D3:D6)</f>
        <v>0</v>
      </c>
      <c r="E7" s="18">
        <f>SUM(E3:E6)</f>
        <v>0</v>
      </c>
      <c r="F7" s="18">
        <f>SUM(F3:F6)</f>
        <v>0</v>
      </c>
      <c r="G7" s="18">
        <f>SUM(G3:G6)</f>
        <v>0</v>
      </c>
      <c r="H7" s="19">
        <f>SUM(H3:H6)</f>
        <v>0</v>
      </c>
      <c r="I7" s="19"/>
      <c r="J7" s="11"/>
      <c r="K7" s="46"/>
    </row>
    <row r="8" s="65" customFormat="1" ht="16.5" spans="1:11">
      <c r="A8" s="11"/>
      <c r="B8" s="11" t="s">
        <v>14</v>
      </c>
      <c r="C8" s="11"/>
      <c r="D8" s="11"/>
      <c r="E8" s="11"/>
      <c r="F8" s="31"/>
      <c r="G8" s="11">
        <v>0</v>
      </c>
      <c r="H8" s="13"/>
      <c r="I8" s="13"/>
      <c r="J8" s="14"/>
      <c r="K8" s="48"/>
    </row>
    <row r="9" s="65" customFormat="1" ht="16.5" spans="1:11">
      <c r="A9" s="11"/>
      <c r="B9" s="11"/>
      <c r="C9" s="17" t="s">
        <v>16</v>
      </c>
      <c r="D9" s="18">
        <f>SUM(D8)</f>
        <v>0</v>
      </c>
      <c r="E9" s="18">
        <f>SUM(E8)</f>
        <v>0</v>
      </c>
      <c r="F9" s="18">
        <f>SUM(F8)</f>
        <v>0</v>
      </c>
      <c r="G9" s="18">
        <f>SUM(G8)</f>
        <v>0</v>
      </c>
      <c r="H9" s="19">
        <f>SUM(H8)</f>
        <v>0</v>
      </c>
      <c r="I9" s="19"/>
      <c r="J9" s="14"/>
      <c r="K9" s="46"/>
    </row>
    <row r="10" s="65" customFormat="1" ht="16.5" spans="1:11">
      <c r="A10" s="11"/>
      <c r="B10" s="11" t="s">
        <v>15</v>
      </c>
      <c r="C10" s="11"/>
      <c r="D10" s="11"/>
      <c r="E10" s="11"/>
      <c r="F10" s="31"/>
      <c r="G10" s="11">
        <v>0</v>
      </c>
      <c r="H10" s="13"/>
      <c r="I10" s="13"/>
      <c r="J10" s="14"/>
      <c r="K10" s="48"/>
    </row>
    <row r="11" s="65" customFormat="1" ht="16.5" spans="1:11">
      <c r="A11" s="11"/>
      <c r="B11" s="11"/>
      <c r="C11" s="17" t="s">
        <v>16</v>
      </c>
      <c r="D11" s="18">
        <f>SUM(D10)</f>
        <v>0</v>
      </c>
      <c r="E11" s="18">
        <f>SUM(E10)</f>
        <v>0</v>
      </c>
      <c r="F11" s="18">
        <f>SUM(F10)</f>
        <v>0</v>
      </c>
      <c r="G11" s="18">
        <f>SUM(G10)</f>
        <v>0</v>
      </c>
      <c r="H11" s="19">
        <f>SUM(H10)</f>
        <v>0</v>
      </c>
      <c r="I11" s="19"/>
      <c r="J11" s="14"/>
      <c r="K11" s="46"/>
    </row>
    <row r="12" s="65" customFormat="1" ht="16.5" spans="1:11">
      <c r="A12" s="83" t="s">
        <v>26</v>
      </c>
      <c r="B12" s="47" t="s">
        <v>13</v>
      </c>
      <c r="C12" s="84"/>
      <c r="D12" s="12"/>
      <c r="E12" s="12"/>
      <c r="F12" s="12"/>
      <c r="G12" s="12"/>
      <c r="H12" s="13"/>
      <c r="I12" s="11"/>
      <c r="J12" s="85"/>
      <c r="K12" s="46"/>
    </row>
    <row r="13" s="65" customFormat="1" ht="16.5" spans="1:11">
      <c r="A13" s="86"/>
      <c r="B13" s="56"/>
      <c r="C13" s="17" t="s">
        <v>16</v>
      </c>
      <c r="D13" s="18">
        <f>SUM(D12:D12)</f>
        <v>0</v>
      </c>
      <c r="E13" s="18">
        <f>SUM(E12:E12)</f>
        <v>0</v>
      </c>
      <c r="F13" s="18">
        <f>SUM(F12:F12)</f>
        <v>0</v>
      </c>
      <c r="G13" s="18">
        <f>SUM(G12:G12)</f>
        <v>0</v>
      </c>
      <c r="H13" s="19">
        <f>SUM(H12:H12)</f>
        <v>0</v>
      </c>
      <c r="I13" s="19"/>
      <c r="J13" s="87"/>
      <c r="K13" s="48"/>
    </row>
    <row r="14" s="65" customFormat="1" ht="16.5" spans="1:11">
      <c r="A14" s="86"/>
      <c r="B14" s="43" t="s">
        <v>14</v>
      </c>
      <c r="C14" s="11"/>
      <c r="D14" s="11"/>
      <c r="E14" s="11"/>
      <c r="F14" s="11"/>
      <c r="G14" s="11"/>
      <c r="H14" s="11"/>
      <c r="I14" s="88"/>
      <c r="J14" s="31"/>
      <c r="K14" s="48"/>
    </row>
    <row r="15" s="65" customFormat="1" ht="16.5" spans="1:11">
      <c r="A15" s="86"/>
      <c r="B15" s="56"/>
      <c r="C15" s="17" t="s">
        <v>16</v>
      </c>
      <c r="D15" s="18">
        <f>SUM(D14)</f>
        <v>0</v>
      </c>
      <c r="E15" s="18">
        <f>SUM(E14)</f>
        <v>0</v>
      </c>
      <c r="F15" s="18">
        <f>SUM(F14)</f>
        <v>0</v>
      </c>
      <c r="G15" s="18">
        <f>SUM(G14)</f>
        <v>0</v>
      </c>
      <c r="H15" s="19">
        <f>SUM(H14)</f>
        <v>0</v>
      </c>
      <c r="I15" s="19"/>
      <c r="J15" s="85"/>
      <c r="K15" s="48"/>
    </row>
    <row r="16" s="65" customFormat="1" ht="16.5" spans="1:11">
      <c r="A16" s="86"/>
      <c r="B16" s="47" t="s">
        <v>15</v>
      </c>
      <c r="C16" s="11"/>
      <c r="D16" s="12"/>
      <c r="E16" s="12"/>
      <c r="F16" s="12"/>
      <c r="G16" s="12"/>
      <c r="H16" s="11"/>
      <c r="I16" s="11"/>
      <c r="J16" s="85"/>
      <c r="K16" s="48"/>
    </row>
    <row r="17" s="65" customFormat="1" ht="16.5" spans="1:11">
      <c r="A17" s="86"/>
      <c r="B17" s="47"/>
      <c r="C17" s="84"/>
      <c r="D17" s="84"/>
      <c r="E17" s="12"/>
      <c r="F17" s="84"/>
      <c r="G17" s="12"/>
      <c r="H17" s="13"/>
      <c r="I17" s="11"/>
      <c r="J17" s="85"/>
      <c r="K17" s="48"/>
    </row>
    <row r="18" s="65" customFormat="1" ht="16.5" spans="1:11">
      <c r="A18" s="89"/>
      <c r="B18" s="56"/>
      <c r="C18" s="17" t="s">
        <v>16</v>
      </c>
      <c r="D18" s="18">
        <f t="shared" ref="D18:H18" si="0">SUM(D16:D17)</f>
        <v>0</v>
      </c>
      <c r="E18" s="18">
        <f t="shared" si="0"/>
        <v>0</v>
      </c>
      <c r="F18" s="18">
        <f t="shared" si="0"/>
        <v>0</v>
      </c>
      <c r="G18" s="18">
        <f t="shared" si="0"/>
        <v>0</v>
      </c>
      <c r="H18" s="18">
        <f t="shared" si="0"/>
        <v>0</v>
      </c>
      <c r="I18" s="19"/>
      <c r="J18" s="14"/>
      <c r="K18" s="48"/>
    </row>
    <row r="19" s="65" customFormat="1" ht="16.5" spans="1:11">
      <c r="A19" s="43" t="s">
        <v>27</v>
      </c>
      <c r="B19" s="43" t="s">
        <v>13</v>
      </c>
      <c r="C19" s="11"/>
      <c r="D19" s="11"/>
      <c r="E19" s="12"/>
      <c r="F19" s="18"/>
      <c r="G19" s="12"/>
      <c r="H19" s="13"/>
      <c r="I19" s="11"/>
      <c r="J19" s="85"/>
      <c r="K19" s="11"/>
    </row>
    <row r="20" s="65" customFormat="1" ht="16.5" spans="1:11">
      <c r="A20" s="47"/>
      <c r="B20" s="47"/>
      <c r="C20" s="11"/>
      <c r="D20" s="11"/>
      <c r="E20" s="12"/>
      <c r="F20" s="18"/>
      <c r="G20" s="12"/>
      <c r="H20" s="13"/>
      <c r="I20" s="11"/>
      <c r="J20" s="80"/>
      <c r="K20" s="15"/>
    </row>
    <row r="21" s="65" customFormat="1" ht="16.5" spans="1:11">
      <c r="A21" s="47"/>
      <c r="B21" s="47"/>
      <c r="C21" s="11"/>
      <c r="D21" s="11"/>
      <c r="E21" s="11"/>
      <c r="F21" s="12"/>
      <c r="G21" s="12"/>
      <c r="H21" s="13"/>
      <c r="I21" s="44"/>
      <c r="J21" s="31"/>
      <c r="K21" s="15"/>
    </row>
    <row r="22" s="65" customFormat="1" ht="16.5" spans="1:11">
      <c r="A22" s="47"/>
      <c r="B22" s="56"/>
      <c r="C22" s="17" t="s">
        <v>16</v>
      </c>
      <c r="D22" s="18">
        <f>SUM(D19:D21)</f>
        <v>0</v>
      </c>
      <c r="E22" s="18">
        <f>SUM(E19:E21)</f>
        <v>0</v>
      </c>
      <c r="F22" s="18">
        <f>SUM(F19:F21)</f>
        <v>0</v>
      </c>
      <c r="G22" s="18">
        <f>SUM(G19:G21)</f>
        <v>0</v>
      </c>
      <c r="H22" s="18">
        <f>SUM(H19:H21)</f>
        <v>0</v>
      </c>
      <c r="I22" s="18"/>
      <c r="J22" s="14"/>
      <c r="K22" s="15"/>
    </row>
    <row r="23" s="65" customFormat="1" ht="16.5" spans="1:11">
      <c r="A23" s="47"/>
      <c r="B23" s="43" t="s">
        <v>14</v>
      </c>
      <c r="C23" s="11"/>
      <c r="D23" s="11"/>
      <c r="E23" s="11"/>
      <c r="F23" s="12"/>
      <c r="G23" s="12"/>
      <c r="H23" s="13"/>
      <c r="I23" s="13"/>
      <c r="J23" s="14"/>
      <c r="K23" s="11"/>
    </row>
    <row r="24" s="65" customFormat="1" ht="16.5" spans="1:11">
      <c r="A24" s="47"/>
      <c r="B24" s="56" t="s">
        <v>14</v>
      </c>
      <c r="C24" s="17" t="s">
        <v>16</v>
      </c>
      <c r="D24" s="18">
        <f>SUM(D23)</f>
        <v>0</v>
      </c>
      <c r="E24" s="18">
        <f>SUM(E23)</f>
        <v>0</v>
      </c>
      <c r="F24" s="18">
        <f>SUM(F23)</f>
        <v>0</v>
      </c>
      <c r="G24" s="18">
        <f>SUM(G23)</f>
        <v>0</v>
      </c>
      <c r="H24" s="19">
        <f>SUM(H23)</f>
        <v>0</v>
      </c>
      <c r="I24" s="19"/>
      <c r="J24" s="14"/>
      <c r="K24" s="15"/>
    </row>
    <row r="25" s="65" customFormat="1" ht="16.5" spans="1:11">
      <c r="A25" s="47"/>
      <c r="B25" s="43" t="s">
        <v>15</v>
      </c>
      <c r="C25" s="11"/>
      <c r="D25" s="11"/>
      <c r="E25" s="13"/>
      <c r="F25" s="13"/>
      <c r="G25" s="13"/>
      <c r="H25" s="13"/>
      <c r="I25" s="11"/>
      <c r="J25" s="31"/>
      <c r="K25" s="11"/>
    </row>
    <row r="26" s="65" customFormat="1" ht="16.5" spans="1:11">
      <c r="A26" s="47"/>
      <c r="B26" s="47"/>
      <c r="C26" s="11"/>
      <c r="D26" s="11"/>
      <c r="E26" s="13"/>
      <c r="F26" s="18"/>
      <c r="G26" s="13"/>
      <c r="H26" s="13"/>
      <c r="I26" s="11"/>
      <c r="J26" s="31"/>
      <c r="K26" s="15"/>
    </row>
    <row r="27" s="65" customFormat="1" ht="16.5" spans="1:11">
      <c r="A27" s="56"/>
      <c r="B27" s="56" t="s">
        <v>15</v>
      </c>
      <c r="C27" s="17" t="s">
        <v>16</v>
      </c>
      <c r="D27" s="18">
        <f>SUM(D25:D26)</f>
        <v>0</v>
      </c>
      <c r="E27" s="18">
        <f>SUM(E25:E26)</f>
        <v>0</v>
      </c>
      <c r="F27" s="18">
        <f>SUM(F25:F26)</f>
        <v>0</v>
      </c>
      <c r="G27" s="18">
        <f>SUM(G25:G26)</f>
        <v>0</v>
      </c>
      <c r="H27" s="19">
        <f>SUM(H25:H26)</f>
        <v>0</v>
      </c>
      <c r="I27" s="19"/>
      <c r="J27" s="14"/>
      <c r="K27" s="15"/>
    </row>
    <row r="28" customFormat="1" ht="16.5" spans="1:11">
      <c r="A28" s="43" t="s">
        <v>28</v>
      </c>
      <c r="B28" s="43" t="s">
        <v>13</v>
      </c>
      <c r="C28" s="11"/>
      <c r="D28" s="11"/>
      <c r="E28" s="12"/>
      <c r="F28" s="18"/>
      <c r="G28" s="12"/>
      <c r="H28" s="13"/>
      <c r="I28" s="11"/>
      <c r="J28" s="80"/>
      <c r="K28" s="11"/>
    </row>
    <row r="29" customFormat="1" ht="16.5" spans="1:11">
      <c r="A29" s="47"/>
      <c r="B29" s="47"/>
      <c r="C29" s="11"/>
      <c r="D29" s="11"/>
      <c r="E29" s="12"/>
      <c r="F29" s="18"/>
      <c r="G29" s="12"/>
      <c r="H29" s="13"/>
      <c r="I29" s="13"/>
      <c r="J29" s="80"/>
      <c r="K29" s="15"/>
    </row>
    <row r="30" customFormat="1" ht="16.5" spans="1:11">
      <c r="A30" s="47"/>
      <c r="B30" s="47"/>
      <c r="C30" s="11"/>
      <c r="D30" s="11"/>
      <c r="E30" s="11"/>
      <c r="F30" s="12"/>
      <c r="G30" s="12"/>
      <c r="H30" s="13"/>
      <c r="I30" s="44"/>
      <c r="J30" s="31"/>
      <c r="K30" s="15"/>
    </row>
    <row r="31" customFormat="1" ht="16.5" spans="1:11">
      <c r="A31" s="47"/>
      <c r="B31" s="56"/>
      <c r="C31" s="17" t="s">
        <v>16</v>
      </c>
      <c r="D31" s="18">
        <f t="shared" ref="D31:H31" si="1">SUM(D28:D30)</f>
        <v>0</v>
      </c>
      <c r="E31" s="18">
        <f t="shared" si="1"/>
        <v>0</v>
      </c>
      <c r="F31" s="18">
        <f t="shared" si="1"/>
        <v>0</v>
      </c>
      <c r="G31" s="18">
        <f t="shared" si="1"/>
        <v>0</v>
      </c>
      <c r="H31" s="18">
        <f t="shared" si="1"/>
        <v>0</v>
      </c>
      <c r="I31" s="18"/>
      <c r="J31" s="14"/>
      <c r="K31" s="15"/>
    </row>
    <row r="32" customFormat="1" ht="16.5" spans="1:11">
      <c r="A32" s="47"/>
      <c r="B32" s="43" t="s">
        <v>14</v>
      </c>
      <c r="C32" s="11"/>
      <c r="D32" s="11"/>
      <c r="E32" s="11"/>
      <c r="F32" s="12"/>
      <c r="G32" s="12"/>
      <c r="H32" s="13"/>
      <c r="I32" s="13"/>
      <c r="J32" s="14"/>
      <c r="K32" s="11"/>
    </row>
    <row r="33" customFormat="1" ht="16.5" spans="1:11">
      <c r="A33" s="47"/>
      <c r="B33" s="56" t="s">
        <v>14</v>
      </c>
      <c r="C33" s="17" t="s">
        <v>16</v>
      </c>
      <c r="D33" s="18">
        <f t="shared" ref="D33:H33" si="2">SUM(D32)</f>
        <v>0</v>
      </c>
      <c r="E33" s="18">
        <f t="shared" si="2"/>
        <v>0</v>
      </c>
      <c r="F33" s="18">
        <f t="shared" si="2"/>
        <v>0</v>
      </c>
      <c r="G33" s="18">
        <f t="shared" si="2"/>
        <v>0</v>
      </c>
      <c r="H33" s="19">
        <f t="shared" si="2"/>
        <v>0</v>
      </c>
      <c r="I33" s="19"/>
      <c r="J33" s="14"/>
      <c r="K33" s="15"/>
    </row>
    <row r="34" customFormat="1" ht="16.5" spans="1:11">
      <c r="A34" s="47"/>
      <c r="B34" s="43" t="s">
        <v>44</v>
      </c>
      <c r="C34" s="11"/>
      <c r="D34" s="12"/>
      <c r="E34" s="13"/>
      <c r="F34" s="12"/>
      <c r="G34" s="13"/>
      <c r="H34" s="13"/>
      <c r="I34" s="11"/>
      <c r="J34" s="31"/>
      <c r="K34" s="11"/>
    </row>
    <row r="35" customFormat="1" ht="16.5" spans="1:11">
      <c r="A35" s="56"/>
      <c r="B35" s="56" t="s">
        <v>15</v>
      </c>
      <c r="C35" s="17" t="s">
        <v>16</v>
      </c>
      <c r="D35" s="18">
        <f>SUM(D34:D34)</f>
        <v>0</v>
      </c>
      <c r="E35" s="18">
        <f>SUM(E34:E34)</f>
        <v>0</v>
      </c>
      <c r="F35" s="18">
        <f>SUM(F34:F34)</f>
        <v>0</v>
      </c>
      <c r="G35" s="18">
        <f>SUM(G34:G34)</f>
        <v>0</v>
      </c>
      <c r="H35" s="19">
        <f>SUM(H34:H34)</f>
        <v>0</v>
      </c>
      <c r="I35" s="19"/>
      <c r="J35" s="14"/>
      <c r="K35" s="15"/>
    </row>
    <row r="36" ht="16.5" spans="1:11">
      <c r="A36" s="21" t="s">
        <v>12</v>
      </c>
      <c r="B36" s="21" t="s">
        <v>13</v>
      </c>
      <c r="C36" s="22"/>
      <c r="D36" s="59">
        <f>D7+D13+D22+D31</f>
        <v>0</v>
      </c>
      <c r="E36" s="59">
        <f>E7+E13+E22+E31</f>
        <v>0</v>
      </c>
      <c r="F36" s="21">
        <f>F7+F13+F22+F31</f>
        <v>0</v>
      </c>
      <c r="G36" s="21">
        <f>G7+G13+G22+G31</f>
        <v>0</v>
      </c>
      <c r="H36" s="60">
        <f>H7+H13+H22+H31</f>
        <v>0</v>
      </c>
      <c r="I36" s="60"/>
      <c r="J36" s="22"/>
      <c r="K36" s="22"/>
    </row>
    <row r="37" ht="16.5" spans="1:11">
      <c r="A37" s="21"/>
      <c r="B37" s="21" t="s">
        <v>14</v>
      </c>
      <c r="C37" s="22"/>
      <c r="D37" s="59">
        <f>D9+D15+D24+D33</f>
        <v>0</v>
      </c>
      <c r="E37" s="59">
        <f>E9+E15+E24+E33</f>
        <v>0</v>
      </c>
      <c r="F37" s="21">
        <f>F9+F15+F24+F33</f>
        <v>0</v>
      </c>
      <c r="G37" s="21">
        <f>G9+G15+G24+G33</f>
        <v>0</v>
      </c>
      <c r="H37" s="60">
        <f>H9+H15+H24+H33</f>
        <v>0</v>
      </c>
      <c r="I37" s="60"/>
      <c r="J37" s="22"/>
      <c r="K37" s="22"/>
    </row>
    <row r="38" ht="16.5" spans="1:11">
      <c r="A38" s="21"/>
      <c r="B38" s="21" t="s">
        <v>15</v>
      </c>
      <c r="C38" s="22"/>
      <c r="D38" s="59">
        <f>D11+D18+D27+D35</f>
        <v>0</v>
      </c>
      <c r="E38" s="59">
        <f>E11+E18+E27+E35</f>
        <v>0</v>
      </c>
      <c r="F38" s="21">
        <f>F11+F18+F27+F35</f>
        <v>0</v>
      </c>
      <c r="G38" s="21">
        <f>G11+G18+G27+G35</f>
        <v>0</v>
      </c>
      <c r="H38" s="60">
        <f>H11+H18+H27+H35</f>
        <v>0</v>
      </c>
      <c r="I38" s="60"/>
      <c r="J38" s="22"/>
      <c r="K38" s="22"/>
    </row>
    <row r="39" ht="22.5" spans="1:11">
      <c r="A39" s="90"/>
      <c r="B39" s="1" t="s">
        <v>45</v>
      </c>
      <c r="C39" s="2"/>
      <c r="D39" s="41"/>
      <c r="E39" s="41"/>
      <c r="F39" s="2"/>
      <c r="G39" s="2"/>
      <c r="H39" s="3"/>
      <c r="I39" s="3"/>
      <c r="J39" s="2"/>
      <c r="K39" s="29"/>
    </row>
    <row r="40" ht="16.5" spans="1:11">
      <c r="A40" s="6" t="s">
        <v>21</v>
      </c>
      <c r="B40" s="6" t="s">
        <v>46</v>
      </c>
      <c r="C40" s="6" t="s">
        <v>38</v>
      </c>
      <c r="D40" s="7" t="s">
        <v>47</v>
      </c>
      <c r="E40" s="7" t="s">
        <v>48</v>
      </c>
      <c r="F40" s="6" t="s">
        <v>9</v>
      </c>
      <c r="G40" s="6" t="s">
        <v>10</v>
      </c>
      <c r="H40" s="8" t="s">
        <v>11</v>
      </c>
      <c r="I40" s="8"/>
      <c r="J40" s="9" t="s">
        <v>49</v>
      </c>
      <c r="K40" s="25"/>
    </row>
    <row r="41" s="65" customFormat="1" ht="16.5" spans="1:11">
      <c r="A41" s="43" t="s">
        <v>25</v>
      </c>
      <c r="B41" s="43" t="s">
        <v>13</v>
      </c>
      <c r="C41" s="11"/>
      <c r="D41" s="12"/>
      <c r="E41" s="12"/>
      <c r="F41" s="12"/>
      <c r="G41" s="12"/>
      <c r="H41" s="13"/>
      <c r="I41" s="13"/>
      <c r="J41" s="91"/>
      <c r="K41" s="46"/>
    </row>
    <row r="42" s="65" customFormat="1" ht="16.5" spans="1:11">
      <c r="A42" s="47"/>
      <c r="B42" s="47"/>
      <c r="C42" s="11"/>
      <c r="D42" s="12"/>
      <c r="E42" s="12"/>
      <c r="F42" s="12"/>
      <c r="G42" s="12"/>
      <c r="H42" s="13"/>
      <c r="I42" s="13"/>
      <c r="J42" s="14"/>
      <c r="K42" s="12"/>
    </row>
    <row r="43" s="65" customFormat="1" ht="16.5" spans="1:11">
      <c r="A43" s="47"/>
      <c r="B43" s="47"/>
      <c r="C43" s="11"/>
      <c r="D43" s="12"/>
      <c r="E43" s="12"/>
      <c r="F43" s="12"/>
      <c r="G43" s="12"/>
      <c r="H43" s="13"/>
      <c r="I43" s="13"/>
      <c r="J43" s="31"/>
      <c r="K43" s="12"/>
    </row>
    <row r="44" s="65" customFormat="1" ht="16.5" spans="1:11">
      <c r="A44" s="47"/>
      <c r="B44" s="47"/>
      <c r="C44" s="11"/>
      <c r="D44" s="12"/>
      <c r="E44" s="12"/>
      <c r="F44" s="12"/>
      <c r="G44" s="12"/>
      <c r="H44" s="13"/>
      <c r="I44" s="13"/>
      <c r="J44" s="31"/>
      <c r="K44" s="12"/>
    </row>
    <row r="45" s="65" customFormat="1" ht="16.5" spans="1:11">
      <c r="A45" s="47"/>
      <c r="B45" s="47"/>
      <c r="C45" s="92"/>
      <c r="D45" s="92"/>
      <c r="E45" s="92"/>
      <c r="F45" s="12"/>
      <c r="G45" s="12"/>
      <c r="H45" s="13"/>
      <c r="I45" s="13"/>
      <c r="J45" s="15"/>
      <c r="K45" s="12"/>
    </row>
    <row r="46" s="65" customFormat="1" ht="16.5" spans="1:11">
      <c r="A46" s="47"/>
      <c r="B46" s="47"/>
      <c r="C46" s="11"/>
      <c r="D46" s="11"/>
      <c r="E46" s="11"/>
      <c r="F46" s="18"/>
      <c r="G46" s="12"/>
      <c r="H46" s="13"/>
      <c r="I46" s="92"/>
      <c r="J46" s="93"/>
      <c r="K46" s="12"/>
    </row>
    <row r="47" s="65" customFormat="1" ht="16.5" spans="1:11">
      <c r="A47" s="47"/>
      <c r="B47" s="56"/>
      <c r="C47" s="17" t="s">
        <v>16</v>
      </c>
      <c r="D47" s="18">
        <f>SUM(D41:D46)</f>
        <v>0</v>
      </c>
      <c r="E47" s="18">
        <f>SUM(E41:E46)</f>
        <v>0</v>
      </c>
      <c r="F47" s="18">
        <f>SUM(F41:F46)</f>
        <v>0</v>
      </c>
      <c r="G47" s="18">
        <f>SUM(G41:G46)</f>
        <v>0</v>
      </c>
      <c r="H47" s="19">
        <f>SUM(H41:H46)</f>
        <v>0</v>
      </c>
      <c r="I47" s="19"/>
      <c r="J47" s="14"/>
      <c r="K47" s="46"/>
    </row>
    <row r="48" s="65" customFormat="1" ht="16.5" spans="1:11">
      <c r="A48" s="47"/>
      <c r="B48" s="11" t="s">
        <v>14</v>
      </c>
      <c r="C48" s="11"/>
      <c r="D48" s="11"/>
      <c r="E48" s="11"/>
      <c r="F48" s="31"/>
      <c r="G48" s="11">
        <v>0</v>
      </c>
      <c r="H48" s="13"/>
      <c r="I48" s="13"/>
      <c r="J48" s="14"/>
      <c r="K48" s="48"/>
    </row>
    <row r="49" s="65" customFormat="1" ht="16.5" spans="1:11">
      <c r="A49" s="47"/>
      <c r="B49" s="11"/>
      <c r="C49" s="17" t="s">
        <v>16</v>
      </c>
      <c r="D49" s="18">
        <f>SUM(D48)</f>
        <v>0</v>
      </c>
      <c r="E49" s="18">
        <f>SUM(E48)</f>
        <v>0</v>
      </c>
      <c r="F49" s="18">
        <f>SUM(F48)</f>
        <v>0</v>
      </c>
      <c r="G49" s="18">
        <f>SUM(G48)</f>
        <v>0</v>
      </c>
      <c r="H49" s="19">
        <f>SUM(H48)</f>
        <v>0</v>
      </c>
      <c r="I49" s="19"/>
      <c r="J49" s="14"/>
      <c r="K49" s="46"/>
    </row>
    <row r="50" s="65" customFormat="1" ht="16.5" spans="1:11">
      <c r="A50" s="47"/>
      <c r="B50" s="11" t="s">
        <v>15</v>
      </c>
      <c r="C50" s="11"/>
      <c r="D50" s="11"/>
      <c r="E50" s="11"/>
      <c r="F50" s="31"/>
      <c r="G50" s="11">
        <v>0</v>
      </c>
      <c r="H50" s="13"/>
      <c r="I50" s="13"/>
      <c r="J50" s="14"/>
      <c r="K50" s="48"/>
    </row>
    <row r="51" s="65" customFormat="1" ht="16.5" spans="1:11">
      <c r="A51" s="56"/>
      <c r="B51" s="11"/>
      <c r="C51" s="17" t="s">
        <v>16</v>
      </c>
      <c r="D51" s="18">
        <f>SUM(D50)</f>
        <v>0</v>
      </c>
      <c r="E51" s="18">
        <f>SUM(E50)</f>
        <v>0</v>
      </c>
      <c r="F51" s="18">
        <f>SUM(F50)</f>
        <v>0</v>
      </c>
      <c r="G51" s="18">
        <f>SUM(G50)</f>
        <v>0</v>
      </c>
      <c r="H51" s="19">
        <f>SUM(H50)</f>
        <v>0</v>
      </c>
      <c r="I51" s="19"/>
      <c r="J51" s="14"/>
      <c r="K51" s="46"/>
    </row>
    <row r="52" s="65" customFormat="1" ht="16.5" spans="1:11">
      <c r="A52" s="11" t="s">
        <v>26</v>
      </c>
      <c r="B52" s="11" t="s">
        <v>13</v>
      </c>
      <c r="C52" s="84"/>
      <c r="D52" s="11"/>
      <c r="E52" s="12"/>
      <c r="F52" s="11"/>
      <c r="G52" s="12"/>
      <c r="H52" s="44"/>
      <c r="I52" s="13"/>
      <c r="J52" s="91"/>
      <c r="K52" s="12"/>
    </row>
    <row r="53" s="65" customFormat="1" ht="16.5" spans="1:11">
      <c r="A53" s="11"/>
      <c r="B53" s="11"/>
      <c r="C53" s="11"/>
      <c r="D53" s="11"/>
      <c r="E53" s="12"/>
      <c r="F53" s="12"/>
      <c r="G53" s="12"/>
      <c r="H53" s="44"/>
      <c r="I53" s="44"/>
      <c r="J53" s="31"/>
      <c r="K53" s="12"/>
    </row>
    <row r="54" s="65" customFormat="1" ht="16.5" spans="1:11">
      <c r="A54" s="11"/>
      <c r="B54" s="11"/>
      <c r="C54" s="11"/>
      <c r="D54" s="18"/>
      <c r="E54" s="18"/>
      <c r="F54" s="18"/>
      <c r="G54" s="18"/>
      <c r="H54" s="44"/>
      <c r="I54" s="44"/>
      <c r="J54" s="31"/>
      <c r="K54" s="11"/>
    </row>
    <row r="55" s="65" customFormat="1" ht="16.5" spans="1:11">
      <c r="A55" s="11"/>
      <c r="B55" s="11"/>
      <c r="C55" s="17"/>
      <c r="D55" s="18"/>
      <c r="E55" s="18"/>
      <c r="F55" s="18"/>
      <c r="G55" s="18"/>
      <c r="H55" s="19"/>
      <c r="I55" s="19"/>
      <c r="J55" s="14"/>
      <c r="K55" s="11"/>
    </row>
    <row r="56" s="65" customFormat="1" ht="16.5" spans="1:11">
      <c r="A56" s="11"/>
      <c r="B56" s="11"/>
      <c r="C56" s="17" t="s">
        <v>16</v>
      </c>
      <c r="D56" s="18">
        <f>SUM(D52:D55)</f>
        <v>0</v>
      </c>
      <c r="E56" s="18">
        <f>SUM(E52:E55)</f>
        <v>0</v>
      </c>
      <c r="F56" s="18">
        <f>SUM(F52:F55)</f>
        <v>0</v>
      </c>
      <c r="G56" s="18">
        <f>SUM(G52:G55)</f>
        <v>0</v>
      </c>
      <c r="H56" s="19">
        <f>SUM(H52:H55)</f>
        <v>0</v>
      </c>
      <c r="I56" s="19"/>
      <c r="J56" s="14"/>
      <c r="K56" s="11"/>
    </row>
    <row r="57" s="65" customFormat="1" ht="16.5" spans="1:11">
      <c r="A57" s="11"/>
      <c r="B57" s="11" t="s">
        <v>14</v>
      </c>
      <c r="C57" s="11"/>
      <c r="D57" s="11"/>
      <c r="E57" s="11"/>
      <c r="F57" s="94"/>
      <c r="G57" s="11">
        <v>0</v>
      </c>
      <c r="H57" s="13"/>
      <c r="I57" s="13"/>
      <c r="J57" s="14"/>
      <c r="K57" s="31"/>
    </row>
    <row r="58" s="65" customFormat="1" ht="16.5" spans="1:11">
      <c r="A58" s="11"/>
      <c r="B58" s="11"/>
      <c r="C58" s="17" t="s">
        <v>16</v>
      </c>
      <c r="D58" s="18">
        <f>SUM(D57)</f>
        <v>0</v>
      </c>
      <c r="E58" s="18">
        <f>SUM(E57)</f>
        <v>0</v>
      </c>
      <c r="F58" s="18">
        <f>SUM(F57)</f>
        <v>0</v>
      </c>
      <c r="G58" s="18">
        <f>SUM(G57)</f>
        <v>0</v>
      </c>
      <c r="H58" s="19">
        <f>SUM(H57)</f>
        <v>0</v>
      </c>
      <c r="I58" s="19"/>
      <c r="J58" s="14"/>
      <c r="K58" s="11"/>
    </row>
    <row r="59" s="65" customFormat="1" ht="16.5" spans="1:11">
      <c r="A59" s="11"/>
      <c r="B59" s="43" t="s">
        <v>15</v>
      </c>
      <c r="C59" s="11"/>
      <c r="D59" s="12"/>
      <c r="E59" s="12"/>
      <c r="F59" s="12"/>
      <c r="G59" s="12"/>
      <c r="H59" s="13"/>
      <c r="I59" s="44"/>
      <c r="J59" s="31"/>
      <c r="K59" s="31"/>
    </row>
    <row r="60" s="65" customFormat="1" ht="16.5" spans="1:11">
      <c r="A60" s="11"/>
      <c r="B60" s="47"/>
      <c r="C60" s="92"/>
      <c r="D60" s="12"/>
      <c r="E60" s="12"/>
      <c r="F60" s="12"/>
      <c r="G60" s="12"/>
      <c r="H60" s="11"/>
      <c r="I60" s="13"/>
      <c r="J60" s="91"/>
      <c r="K60" s="11"/>
    </row>
    <row r="61" s="65" customFormat="1" ht="16.5" spans="1:11">
      <c r="A61" s="11"/>
      <c r="B61" s="47"/>
      <c r="C61" s="92"/>
      <c r="D61" s="12"/>
      <c r="E61" s="12"/>
      <c r="F61" s="12"/>
      <c r="G61" s="11"/>
      <c r="H61" s="11"/>
      <c r="I61" s="13"/>
      <c r="J61" s="91"/>
      <c r="K61" s="11"/>
    </row>
    <row r="62" s="65" customFormat="1" ht="16.5" spans="1:11">
      <c r="A62" s="11"/>
      <c r="B62" s="56"/>
      <c r="C62" s="17" t="s">
        <v>16</v>
      </c>
      <c r="D62" s="18">
        <f>SUM(D59:D61)</f>
        <v>0</v>
      </c>
      <c r="E62" s="18">
        <f>SUM(E59:E61)</f>
        <v>0</v>
      </c>
      <c r="F62" s="18">
        <f>SUM(F59:F61)</f>
        <v>0</v>
      </c>
      <c r="G62" s="18">
        <f>SUM(G59:G61)</f>
        <v>0</v>
      </c>
      <c r="H62" s="18">
        <f>SUM(H59:H61)</f>
        <v>0</v>
      </c>
      <c r="I62" s="19"/>
      <c r="J62" s="14"/>
      <c r="K62" s="11"/>
    </row>
    <row r="63" s="65" customFormat="1" ht="16.5" spans="1:11">
      <c r="A63" s="11" t="s">
        <v>27</v>
      </c>
      <c r="B63" s="43" t="s">
        <v>13</v>
      </c>
      <c r="C63" s="11"/>
      <c r="D63" s="12"/>
      <c r="E63" s="12"/>
      <c r="F63" s="12"/>
      <c r="G63" s="12"/>
      <c r="H63" s="13"/>
      <c r="I63" s="13"/>
      <c r="J63" s="31"/>
      <c r="K63" s="48"/>
    </row>
    <row r="64" s="65" customFormat="1" ht="16.5" spans="1:11">
      <c r="A64" s="11"/>
      <c r="B64" s="47"/>
      <c r="C64" s="11"/>
      <c r="D64" s="11"/>
      <c r="E64" s="11"/>
      <c r="F64" s="12"/>
      <c r="G64" s="12"/>
      <c r="H64" s="13"/>
      <c r="I64" s="92"/>
      <c r="J64" s="31"/>
      <c r="K64" s="46"/>
    </row>
    <row r="65" s="65" customFormat="1" ht="16.5" spans="1:11">
      <c r="A65" s="11"/>
      <c r="B65" s="47"/>
      <c r="C65" s="11"/>
      <c r="D65" s="11"/>
      <c r="E65" s="11"/>
      <c r="F65" s="12"/>
      <c r="G65" s="12"/>
      <c r="H65" s="13"/>
      <c r="I65" s="92"/>
      <c r="J65" s="31"/>
      <c r="K65" s="46"/>
    </row>
    <row r="66" s="65" customFormat="1" ht="16.5" spans="1:11">
      <c r="A66" s="11"/>
      <c r="B66" s="47"/>
      <c r="C66" s="11"/>
      <c r="D66" s="11"/>
      <c r="E66" s="11"/>
      <c r="F66" s="12"/>
      <c r="G66" s="12"/>
      <c r="H66" s="13"/>
      <c r="I66" s="92"/>
      <c r="J66" s="31"/>
      <c r="K66" s="46"/>
    </row>
    <row r="67" s="65" customFormat="1" ht="16.5" spans="1:11">
      <c r="A67" s="11"/>
      <c r="B67" s="47"/>
      <c r="C67" s="11"/>
      <c r="D67" s="11"/>
      <c r="E67" s="11"/>
      <c r="F67" s="12"/>
      <c r="G67" s="12"/>
      <c r="H67" s="13"/>
      <c r="I67" s="92"/>
      <c r="J67" s="31"/>
      <c r="K67" s="46"/>
    </row>
    <row r="68" s="65" customFormat="1" ht="16.5" spans="1:11">
      <c r="A68" s="11"/>
      <c r="B68" s="56"/>
      <c r="C68" s="17" t="s">
        <v>16</v>
      </c>
      <c r="D68" s="18">
        <f>SUM(D63:D67)</f>
        <v>0</v>
      </c>
      <c r="E68" s="18">
        <f>SUM(E63:E67)</f>
        <v>0</v>
      </c>
      <c r="F68" s="18">
        <f>SUM(F63:F67)</f>
        <v>0</v>
      </c>
      <c r="G68" s="18">
        <f>SUM(G63:G67)</f>
        <v>0</v>
      </c>
      <c r="H68" s="19">
        <f>SUM(H63:H67)</f>
        <v>0</v>
      </c>
      <c r="I68" s="19"/>
      <c r="J68" s="14"/>
      <c r="K68" s="46"/>
    </row>
    <row r="69" s="65" customFormat="1" ht="16.5" spans="1:11">
      <c r="A69" s="11"/>
      <c r="B69" s="43" t="s">
        <v>14</v>
      </c>
      <c r="C69" s="11"/>
      <c r="D69" s="11"/>
      <c r="E69" s="11"/>
      <c r="F69" s="31"/>
      <c r="G69" s="11"/>
      <c r="H69" s="13"/>
      <c r="I69" s="13"/>
      <c r="J69" s="14"/>
      <c r="K69" s="48"/>
    </row>
    <row r="70" s="65" customFormat="1" ht="16.5" spans="1:11">
      <c r="A70" s="11"/>
      <c r="B70" s="56"/>
      <c r="C70" s="17" t="s">
        <v>16</v>
      </c>
      <c r="D70" s="18">
        <f>SUM(D69)</f>
        <v>0</v>
      </c>
      <c r="E70" s="18">
        <f>SUM(E69)</f>
        <v>0</v>
      </c>
      <c r="F70" s="18">
        <f>SUM(F69)</f>
        <v>0</v>
      </c>
      <c r="G70" s="18">
        <f>SUM(G69)</f>
        <v>0</v>
      </c>
      <c r="H70" s="19">
        <f>SUM(H69)</f>
        <v>0</v>
      </c>
      <c r="I70" s="19"/>
      <c r="J70" s="14"/>
      <c r="K70" s="46"/>
    </row>
    <row r="71" s="65" customFormat="1" ht="16.5" spans="1:11">
      <c r="A71" s="11"/>
      <c r="B71" s="47" t="s">
        <v>15</v>
      </c>
      <c r="C71" s="11"/>
      <c r="D71" s="11"/>
      <c r="E71" s="12"/>
      <c r="F71" s="31"/>
      <c r="G71" s="12"/>
      <c r="H71" s="13"/>
      <c r="I71" s="13"/>
      <c r="J71" s="14"/>
      <c r="K71" s="48"/>
    </row>
    <row r="72" s="65" customFormat="1" ht="16.5" spans="1:11">
      <c r="A72" s="11"/>
      <c r="B72" s="47"/>
      <c r="C72" s="11"/>
      <c r="D72" s="12"/>
      <c r="E72" s="12"/>
      <c r="F72" s="12"/>
      <c r="G72" s="12"/>
      <c r="H72" s="13"/>
      <c r="I72" s="13"/>
      <c r="J72" s="14"/>
      <c r="K72" s="46"/>
    </row>
    <row r="73" s="65" customFormat="1" ht="16.5" spans="1:11">
      <c r="A73" s="11"/>
      <c r="B73" s="56"/>
      <c r="C73" s="17" t="s">
        <v>16</v>
      </c>
      <c r="D73" s="18">
        <f>SUM(D71:D72)</f>
        <v>0</v>
      </c>
      <c r="E73" s="18">
        <f>SUM(E71:E72)</f>
        <v>0</v>
      </c>
      <c r="F73" s="18">
        <f>SUM(F71:F72)</f>
        <v>0</v>
      </c>
      <c r="G73" s="18">
        <f>SUM(G71:G72)</f>
        <v>0</v>
      </c>
      <c r="H73" s="18">
        <f>SUM(H71:H72)</f>
        <v>0</v>
      </c>
      <c r="I73" s="19"/>
      <c r="J73" s="14"/>
      <c r="K73" s="46"/>
    </row>
    <row r="74" customFormat="1" ht="16.5" spans="1:11">
      <c r="A74" s="11" t="s">
        <v>28</v>
      </c>
      <c r="B74" s="43" t="s">
        <v>13</v>
      </c>
      <c r="C74" s="37"/>
      <c r="D74" s="95"/>
      <c r="E74" s="95"/>
      <c r="F74" s="18"/>
      <c r="G74" s="12"/>
      <c r="H74" s="13"/>
      <c r="I74" s="92"/>
      <c r="J74" s="31"/>
      <c r="K74" s="48"/>
    </row>
    <row r="75" customFormat="1" ht="16.5" spans="1:11">
      <c r="A75" s="11"/>
      <c r="B75" s="47"/>
      <c r="C75" s="11"/>
      <c r="D75" s="11"/>
      <c r="E75" s="11"/>
      <c r="F75" s="12"/>
      <c r="G75" s="12"/>
      <c r="H75" s="13"/>
      <c r="I75" s="92"/>
      <c r="J75" s="31"/>
      <c r="K75" s="46"/>
    </row>
    <row r="76" customFormat="1" ht="16.5" spans="1:11">
      <c r="A76" s="11"/>
      <c r="B76" s="47"/>
      <c r="C76" s="11"/>
      <c r="D76" s="11"/>
      <c r="E76" s="11"/>
      <c r="F76" s="12"/>
      <c r="G76" s="12"/>
      <c r="H76" s="13"/>
      <c r="I76" s="92"/>
      <c r="J76" s="31"/>
      <c r="K76" s="46"/>
    </row>
    <row r="77" customFormat="1" ht="16.5" spans="1:11">
      <c r="A77" s="11"/>
      <c r="B77" s="56"/>
      <c r="C77" s="17" t="s">
        <v>16</v>
      </c>
      <c r="D77" s="18">
        <f t="shared" ref="D77:H77" si="3">SUM(D74:D76)</f>
        <v>0</v>
      </c>
      <c r="E77" s="18">
        <f t="shared" si="3"/>
        <v>0</v>
      </c>
      <c r="F77" s="18">
        <f t="shared" si="3"/>
        <v>0</v>
      </c>
      <c r="G77" s="18">
        <f t="shared" si="3"/>
        <v>0</v>
      </c>
      <c r="H77" s="19">
        <f t="shared" si="3"/>
        <v>0</v>
      </c>
      <c r="I77" s="19"/>
      <c r="J77" s="14"/>
      <c r="K77" s="46"/>
    </row>
    <row r="78" customFormat="1" ht="16.5" spans="1:11">
      <c r="A78" s="11"/>
      <c r="B78" s="43" t="s">
        <v>14</v>
      </c>
      <c r="C78" s="11"/>
      <c r="D78" s="11"/>
      <c r="E78" s="11"/>
      <c r="F78" s="31"/>
      <c r="G78" s="11"/>
      <c r="H78" s="13"/>
      <c r="I78" s="13"/>
      <c r="J78" s="14"/>
      <c r="K78" s="48"/>
    </row>
    <row r="79" customFormat="1" ht="16.5" spans="1:11">
      <c r="A79" s="11"/>
      <c r="B79" s="56"/>
      <c r="C79" s="17" t="s">
        <v>16</v>
      </c>
      <c r="D79" s="18">
        <f t="shared" ref="D79:H79" si="4">SUM(D78)</f>
        <v>0</v>
      </c>
      <c r="E79" s="18">
        <f t="shared" si="4"/>
        <v>0</v>
      </c>
      <c r="F79" s="18">
        <f t="shared" si="4"/>
        <v>0</v>
      </c>
      <c r="G79" s="18">
        <f t="shared" si="4"/>
        <v>0</v>
      </c>
      <c r="H79" s="19">
        <f t="shared" si="4"/>
        <v>0</v>
      </c>
      <c r="I79" s="19"/>
      <c r="J79" s="14"/>
      <c r="K79" s="46"/>
    </row>
    <row r="80" customFormat="1" ht="16.5" spans="1:11">
      <c r="A80" s="11"/>
      <c r="B80" s="47" t="s">
        <v>15</v>
      </c>
      <c r="C80" s="11"/>
      <c r="D80" s="12"/>
      <c r="E80" s="12"/>
      <c r="F80" s="31"/>
      <c r="G80" s="12"/>
      <c r="H80" s="12"/>
      <c r="I80" s="13"/>
      <c r="J80" s="14"/>
      <c r="K80" s="48"/>
    </row>
    <row r="81" customFormat="1" ht="16.5" spans="1:11">
      <c r="A81" s="11"/>
      <c r="B81" s="47"/>
      <c r="C81" s="11"/>
      <c r="D81" s="12"/>
      <c r="E81" s="12"/>
      <c r="F81" s="12"/>
      <c r="G81" s="12"/>
      <c r="H81" s="13"/>
      <c r="I81" s="44"/>
      <c r="J81" s="14"/>
      <c r="K81" s="46"/>
    </row>
    <row r="82" customFormat="1" ht="16.5" spans="1:11">
      <c r="A82" s="11"/>
      <c r="B82" s="56"/>
      <c r="C82" s="17" t="s">
        <v>16</v>
      </c>
      <c r="D82" s="18">
        <f t="shared" ref="D82:H82" si="5">SUM(D80:D81)</f>
        <v>0</v>
      </c>
      <c r="E82" s="18">
        <f t="shared" si="5"/>
        <v>0</v>
      </c>
      <c r="F82" s="18">
        <f t="shared" si="5"/>
        <v>0</v>
      </c>
      <c r="G82" s="18">
        <f t="shared" si="5"/>
        <v>0</v>
      </c>
      <c r="H82" s="18">
        <f t="shared" si="5"/>
        <v>0</v>
      </c>
      <c r="I82" s="19"/>
      <c r="J82" s="14"/>
      <c r="K82" s="46"/>
    </row>
    <row r="83" ht="16.5" spans="1:11">
      <c r="A83" s="21" t="s">
        <v>12</v>
      </c>
      <c r="B83" s="21" t="s">
        <v>13</v>
      </c>
      <c r="C83" s="22"/>
      <c r="D83" s="59">
        <f>D47+D56+D68+D77</f>
        <v>0</v>
      </c>
      <c r="E83" s="59">
        <f>E47+E56+E68+E77</f>
        <v>0</v>
      </c>
      <c r="F83" s="21">
        <f>F47+F56+F68+F77</f>
        <v>0</v>
      </c>
      <c r="G83" s="21">
        <f>G47+G56+G68+G77</f>
        <v>0</v>
      </c>
      <c r="H83" s="60">
        <f>H47+H56+H68+H77</f>
        <v>0</v>
      </c>
      <c r="I83" s="60"/>
      <c r="J83" s="22"/>
      <c r="K83" s="22"/>
    </row>
    <row r="84" ht="16.5" spans="1:11">
      <c r="A84" s="21"/>
      <c r="B84" s="21" t="s">
        <v>14</v>
      </c>
      <c r="C84" s="22"/>
      <c r="D84" s="59">
        <f>D49+D58+D70+D79</f>
        <v>0</v>
      </c>
      <c r="E84" s="59">
        <f>E49+E58+E70+E79</f>
        <v>0</v>
      </c>
      <c r="F84" s="21">
        <f>F49+F58+F70+F79</f>
        <v>0</v>
      </c>
      <c r="G84" s="21">
        <f>G49+G58+G70+G79</f>
        <v>0</v>
      </c>
      <c r="H84" s="60">
        <f>H49+H58+H70+H79</f>
        <v>0</v>
      </c>
      <c r="I84" s="60"/>
      <c r="J84" s="22"/>
      <c r="K84" s="22"/>
    </row>
    <row r="85" ht="16.5" spans="1:11">
      <c r="A85" s="21"/>
      <c r="B85" s="21" t="s">
        <v>15</v>
      </c>
      <c r="C85" s="22"/>
      <c r="D85" s="59">
        <f>D51+D62+D73+D82</f>
        <v>0</v>
      </c>
      <c r="E85" s="59">
        <f>E51+E62+E73+E82</f>
        <v>0</v>
      </c>
      <c r="F85" s="21">
        <f>F51+F62+F73+F82</f>
        <v>0</v>
      </c>
      <c r="G85" s="21">
        <f>G51+G62+G73+G82</f>
        <v>0</v>
      </c>
      <c r="H85" s="60">
        <f>H51+H62+H73+H82</f>
        <v>0</v>
      </c>
      <c r="I85" s="60"/>
      <c r="J85" s="22"/>
      <c r="K85" s="22"/>
    </row>
    <row r="86" spans="1:11">
      <c r="A86" s="32"/>
      <c r="B86" s="32"/>
      <c r="C86" s="32"/>
      <c r="D86" s="96"/>
      <c r="E86" s="96"/>
      <c r="F86" s="32"/>
      <c r="G86" s="32"/>
      <c r="H86" s="97"/>
      <c r="J86" s="32"/>
      <c r="K86" s="32"/>
    </row>
    <row r="87" ht="22.5" spans="1:11">
      <c r="A87" s="33" t="s">
        <v>50</v>
      </c>
      <c r="B87" s="33"/>
      <c r="C87" s="33"/>
      <c r="D87" s="34"/>
      <c r="E87" s="34"/>
      <c r="F87" s="33"/>
      <c r="G87" s="33"/>
      <c r="H87" s="97"/>
    </row>
    <row r="88" ht="16.5" spans="1:11">
      <c r="A88" s="27"/>
      <c r="B88" s="98"/>
      <c r="C88" s="35"/>
      <c r="D88" s="99"/>
      <c r="E88" s="100"/>
      <c r="F88" s="100"/>
      <c r="G88" s="98"/>
      <c r="H88" s="97"/>
    </row>
    <row r="89" ht="16.5" spans="1:11">
      <c r="A89" s="27"/>
      <c r="B89" s="98"/>
      <c r="C89" s="35"/>
      <c r="D89" s="99"/>
      <c r="E89" s="100"/>
      <c r="F89" s="100"/>
      <c r="G89" s="98"/>
      <c r="H89" s="97"/>
    </row>
    <row r="90" ht="16.5" spans="1:11">
      <c r="A90" s="27"/>
      <c r="B90" s="98"/>
      <c r="C90" s="35"/>
      <c r="D90" s="99"/>
      <c r="E90" s="100"/>
      <c r="F90" s="100"/>
      <c r="G90" s="98"/>
      <c r="H90" s="97"/>
    </row>
  </sheetData>
  <mergeCells count="44">
    <mergeCell ref="A1:H1"/>
    <mergeCell ref="B39:J39"/>
    <mergeCell ref="A87:G87"/>
    <mergeCell ref="B88:C88"/>
    <mergeCell ref="D88:G88"/>
    <mergeCell ref="B89:C89"/>
    <mergeCell ref="D89:G89"/>
    <mergeCell ref="B90:C90"/>
    <mergeCell ref="D90:G90"/>
    <mergeCell ref="A3:A11"/>
    <mergeCell ref="A12:A18"/>
    <mergeCell ref="A19:A27"/>
    <mergeCell ref="A28:A35"/>
    <mergeCell ref="A36:A38"/>
    <mergeCell ref="A41:A51"/>
    <mergeCell ref="A52:A62"/>
    <mergeCell ref="A63:A73"/>
    <mergeCell ref="A74:A82"/>
    <mergeCell ref="A83:A85"/>
    <mergeCell ref="A88:A90"/>
    <mergeCell ref="B3:B7"/>
    <mergeCell ref="B8:B9"/>
    <mergeCell ref="B10:B11"/>
    <mergeCell ref="B12:B13"/>
    <mergeCell ref="B14:B15"/>
    <mergeCell ref="B16:B18"/>
    <mergeCell ref="B19:B22"/>
    <mergeCell ref="B23:B24"/>
    <mergeCell ref="B25:B27"/>
    <mergeCell ref="B28:B31"/>
    <mergeCell ref="B32:B33"/>
    <mergeCell ref="B34:B35"/>
    <mergeCell ref="B41:B47"/>
    <mergeCell ref="B48:B49"/>
    <mergeCell ref="B50:B51"/>
    <mergeCell ref="B52:B56"/>
    <mergeCell ref="B57:B58"/>
    <mergeCell ref="B59:B62"/>
    <mergeCell ref="B63:B68"/>
    <mergeCell ref="B69:B70"/>
    <mergeCell ref="B71:B73"/>
    <mergeCell ref="B74:B77"/>
    <mergeCell ref="B78:B79"/>
    <mergeCell ref="B80:B82"/>
  </mergeCells>
  <pageMargins left="0.75" right="0.75" top="1" bottom="1" header="0.5" footer="0.5"/>
  <pageSetup paperSize="9" scale="85" orientation="landscape"/>
  <headerFooter/>
  <rowBreaks count="1" manualBreakCount="1">
    <brk id="38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2"/>
  <sheetViews>
    <sheetView topLeftCell="A13" workbookViewId="0">
      <selection activeCell="F16" sqref="F16"/>
    </sheetView>
  </sheetViews>
  <sheetFormatPr defaultColWidth="9" defaultRowHeight="13.5"/>
  <cols>
    <col min="1" max="2" width="11.25" customWidth="1"/>
    <col min="3" max="3" width="17.375" customWidth="1"/>
    <col min="4" max="4" width="14.5" style="38" customWidth="1"/>
    <col min="5" max="5" width="14.875" style="38" customWidth="1"/>
    <col min="6" max="6" width="13.125" customWidth="1"/>
    <col min="7" max="7" width="12.125" customWidth="1"/>
    <col min="8" max="8" width="10.75" style="39" customWidth="1"/>
    <col min="9" max="9" width="14" style="39" customWidth="1"/>
    <col min="10" max="10" width="22" style="40" customWidth="1"/>
    <col min="11" max="11" width="30.375" customWidth="1"/>
    <col min="12" max="12" width="20.5" customWidth="1"/>
  </cols>
  <sheetData>
    <row r="1" ht="22.5" spans="1:12">
      <c r="A1" s="1" t="s">
        <v>35</v>
      </c>
      <c r="B1" s="2"/>
      <c r="C1" s="2"/>
      <c r="D1" s="41"/>
      <c r="E1" s="41"/>
      <c r="F1" s="2"/>
      <c r="G1" s="2"/>
      <c r="H1" s="3"/>
      <c r="I1" s="3"/>
      <c r="J1" s="42"/>
      <c r="K1" s="4" t="s">
        <v>51</v>
      </c>
      <c r="L1" s="5"/>
    </row>
    <row r="2" ht="16.5" spans="1:12">
      <c r="A2" s="6" t="s">
        <v>21</v>
      </c>
      <c r="B2" s="6" t="s">
        <v>37</v>
      </c>
      <c r="C2" s="6" t="s">
        <v>38</v>
      </c>
      <c r="D2" s="7" t="s">
        <v>39</v>
      </c>
      <c r="E2" s="7" t="s">
        <v>40</v>
      </c>
      <c r="F2" s="6" t="s">
        <v>4</v>
      </c>
      <c r="G2" s="6" t="s">
        <v>5</v>
      </c>
      <c r="H2" s="8" t="s">
        <v>6</v>
      </c>
      <c r="I2" s="8" t="s">
        <v>52</v>
      </c>
      <c r="J2" s="8" t="s">
        <v>53</v>
      </c>
      <c r="K2" s="9" t="s">
        <v>42</v>
      </c>
      <c r="L2" s="6" t="s">
        <v>43</v>
      </c>
    </row>
    <row r="3" ht="24" customHeight="1" spans="1:12">
      <c r="A3" s="43" t="s">
        <v>34</v>
      </c>
      <c r="B3" s="20" t="s">
        <v>13</v>
      </c>
      <c r="C3" s="11"/>
      <c r="D3" s="11"/>
      <c r="E3" s="12"/>
      <c r="F3" s="11"/>
      <c r="G3" s="12"/>
      <c r="H3" s="44"/>
      <c r="I3" s="44"/>
      <c r="J3" s="45"/>
      <c r="K3" s="14"/>
      <c r="L3" s="46"/>
    </row>
    <row r="4" ht="16.5" spans="1:12">
      <c r="A4" s="47"/>
      <c r="B4" s="10"/>
      <c r="C4" s="11"/>
      <c r="D4" s="11"/>
      <c r="E4" s="12"/>
      <c r="F4" s="11"/>
      <c r="G4" s="12"/>
      <c r="H4" s="44"/>
      <c r="I4" s="44"/>
      <c r="J4" s="45"/>
      <c r="K4" s="14"/>
      <c r="L4" s="44"/>
    </row>
    <row r="5" ht="16.5" spans="1:12">
      <c r="A5" s="47"/>
      <c r="B5" s="16"/>
      <c r="C5" s="17" t="s">
        <v>16</v>
      </c>
      <c r="D5" s="18">
        <f>SUM(D3:D4)</f>
        <v>0</v>
      </c>
      <c r="E5" s="18">
        <f>SUM(E3:E4)</f>
        <v>0</v>
      </c>
      <c r="F5" s="18">
        <f>SUM(F3:F4)</f>
        <v>0</v>
      </c>
      <c r="G5" s="18">
        <f>SUM(G3:G4)</f>
        <v>0</v>
      </c>
      <c r="H5" s="18">
        <f>SUM(H3:H4)</f>
        <v>0</v>
      </c>
      <c r="I5" s="44"/>
      <c r="J5" s="18"/>
      <c r="K5" s="14"/>
      <c r="L5" s="48"/>
    </row>
    <row r="6" ht="16.5" spans="1:12">
      <c r="A6" s="47"/>
      <c r="B6" s="20" t="s">
        <v>14</v>
      </c>
      <c r="C6" s="49"/>
      <c r="D6" s="50"/>
      <c r="E6" s="51"/>
      <c r="F6" s="50"/>
      <c r="G6" s="51"/>
      <c r="H6" s="13"/>
      <c r="I6" s="44"/>
      <c r="J6" s="52"/>
      <c r="K6" s="14"/>
      <c r="L6" s="48"/>
    </row>
    <row r="7" ht="16.5" spans="1:12">
      <c r="A7" s="47"/>
      <c r="B7" s="10"/>
      <c r="C7" s="11"/>
      <c r="D7" s="11"/>
      <c r="E7" s="11"/>
      <c r="F7" s="11"/>
      <c r="G7" s="11"/>
      <c r="H7" s="13"/>
      <c r="I7" s="44"/>
      <c r="J7" s="13"/>
      <c r="K7" s="14"/>
      <c r="L7" s="48"/>
    </row>
    <row r="8" ht="16.5" spans="1:12">
      <c r="A8" s="47"/>
      <c r="B8" s="16"/>
      <c r="C8" s="17" t="s">
        <v>16</v>
      </c>
      <c r="D8" s="18">
        <f>SUM(D6:D7)</f>
        <v>0</v>
      </c>
      <c r="E8" s="18">
        <f>SUM(E6:E7)</f>
        <v>0</v>
      </c>
      <c r="F8" s="18">
        <f>SUM(F6:F7)</f>
        <v>0</v>
      </c>
      <c r="G8" s="18">
        <f>SUM(G6:G7)</f>
        <v>0</v>
      </c>
      <c r="H8" s="19">
        <f>SUM(H6:H7)</f>
        <v>0</v>
      </c>
      <c r="I8" s="44"/>
      <c r="J8" s="19"/>
      <c r="K8" s="14"/>
      <c r="L8" s="48"/>
    </row>
    <row r="9" ht="28" customHeight="1" spans="1:12">
      <c r="A9" s="47"/>
      <c r="B9" s="10"/>
      <c r="C9" s="49"/>
      <c r="D9" s="12"/>
      <c r="E9" s="12"/>
      <c r="F9" s="12"/>
      <c r="G9" s="12"/>
      <c r="H9" s="13"/>
      <c r="I9" s="44"/>
      <c r="J9" s="45"/>
      <c r="K9" s="14"/>
      <c r="L9" s="48"/>
    </row>
    <row r="10" ht="27" customHeight="1" spans="1:12">
      <c r="A10" s="47"/>
      <c r="B10" s="10"/>
      <c r="C10" s="11"/>
      <c r="D10" s="12"/>
      <c r="E10" s="12"/>
      <c r="F10" s="12"/>
      <c r="G10" s="12"/>
      <c r="H10" s="13"/>
      <c r="I10" s="44"/>
      <c r="J10" s="45"/>
      <c r="K10" s="49"/>
      <c r="L10" s="46"/>
    </row>
    <row r="11" ht="27" customHeight="1" spans="1:12">
      <c r="A11" s="47"/>
      <c r="B11" s="10"/>
      <c r="C11" s="11"/>
      <c r="D11" s="12"/>
      <c r="E11" s="12"/>
      <c r="F11" s="12"/>
      <c r="G11" s="12"/>
      <c r="H11" s="44"/>
      <c r="I11" s="44"/>
      <c r="J11" s="53"/>
      <c r="K11" s="49"/>
      <c r="L11" s="46"/>
    </row>
    <row r="12" ht="27" customHeight="1" spans="1:12">
      <c r="A12" s="47"/>
      <c r="B12" s="10"/>
      <c r="C12" s="11"/>
      <c r="D12" s="12"/>
      <c r="E12" s="12"/>
      <c r="F12" s="12"/>
      <c r="G12" s="12"/>
      <c r="H12" s="44"/>
      <c r="I12" s="44"/>
      <c r="J12" s="53"/>
      <c r="K12" s="49"/>
      <c r="L12" s="46"/>
    </row>
    <row r="13" ht="25" customHeight="1" spans="1:12">
      <c r="A13" s="47"/>
      <c r="B13" s="10"/>
      <c r="C13" s="11"/>
      <c r="D13" s="12"/>
      <c r="E13" s="12"/>
      <c r="F13" s="12"/>
      <c r="G13" s="12"/>
      <c r="H13" s="44"/>
      <c r="I13" s="44"/>
      <c r="J13" s="53"/>
      <c r="K13" s="49"/>
      <c r="L13" s="46"/>
    </row>
    <row r="14" ht="25" customHeight="1" spans="1:12">
      <c r="A14" s="47"/>
      <c r="B14" s="10"/>
      <c r="C14" s="49"/>
      <c r="D14" s="12"/>
      <c r="E14" s="12"/>
      <c r="F14" s="12"/>
      <c r="G14" s="12"/>
      <c r="H14" s="13"/>
      <c r="I14" s="44"/>
      <c r="J14" s="45"/>
      <c r="K14" s="49"/>
      <c r="L14" s="46"/>
    </row>
    <row r="15" ht="28" customHeight="1" spans="1:12">
      <c r="A15" s="47"/>
      <c r="B15" s="10"/>
      <c r="C15" s="11"/>
      <c r="D15" s="12"/>
      <c r="E15" s="12"/>
      <c r="F15" s="12"/>
      <c r="G15" s="12"/>
      <c r="H15" s="13"/>
      <c r="I15" s="44"/>
      <c r="J15" s="45"/>
      <c r="K15" s="49"/>
      <c r="L15" s="46"/>
    </row>
    <row r="16" ht="26" customHeight="1" spans="1:12">
      <c r="A16" s="47"/>
      <c r="B16" s="10"/>
      <c r="C16" s="11"/>
      <c r="D16" s="12"/>
      <c r="E16" s="12"/>
      <c r="F16" s="12"/>
      <c r="G16" s="12"/>
      <c r="H16" s="13"/>
      <c r="I16" s="44"/>
      <c r="J16" s="45"/>
      <c r="K16" s="49"/>
      <c r="L16" s="46"/>
    </row>
    <row r="17" ht="28" customHeight="1" spans="1:12">
      <c r="A17" s="47"/>
      <c r="B17" s="10"/>
      <c r="C17" s="11"/>
      <c r="D17" s="12"/>
      <c r="E17" s="12"/>
      <c r="F17" s="12"/>
      <c r="G17" s="12"/>
      <c r="H17" s="13"/>
      <c r="I17" s="44"/>
      <c r="J17" s="45"/>
      <c r="K17" s="54"/>
      <c r="L17" s="46"/>
    </row>
    <row r="18" ht="28" customHeight="1" spans="1:12">
      <c r="A18" s="47"/>
      <c r="B18" s="10"/>
      <c r="C18" s="11"/>
      <c r="D18" s="12"/>
      <c r="E18" s="12"/>
      <c r="F18" s="12"/>
      <c r="G18" s="12"/>
      <c r="H18" s="13"/>
      <c r="I18" s="44"/>
      <c r="J18" s="45"/>
      <c r="K18" s="54"/>
      <c r="L18" s="46"/>
    </row>
    <row r="19" ht="28" customHeight="1" spans="1:12">
      <c r="A19" s="47"/>
      <c r="B19" s="10"/>
      <c r="C19" s="11"/>
      <c r="D19" s="12"/>
      <c r="E19" s="12"/>
      <c r="F19" s="12"/>
      <c r="G19" s="12"/>
      <c r="H19" s="13"/>
      <c r="I19" s="44"/>
      <c r="J19" s="45"/>
      <c r="K19" s="54"/>
      <c r="L19" s="46"/>
    </row>
    <row r="20" ht="28" customHeight="1" spans="1:12">
      <c r="A20" s="47"/>
      <c r="B20" s="10"/>
      <c r="C20" s="11"/>
      <c r="D20" s="12"/>
      <c r="E20" s="12"/>
      <c r="F20" s="12"/>
      <c r="G20" s="12"/>
      <c r="H20" s="13"/>
      <c r="I20" s="44"/>
      <c r="J20" s="45"/>
      <c r="K20" s="14"/>
      <c r="L20" s="46"/>
    </row>
    <row r="21" ht="16.5" spans="1:12">
      <c r="A21" s="47"/>
      <c r="B21" s="10"/>
      <c r="C21" s="11"/>
      <c r="D21" s="12"/>
      <c r="E21" s="12"/>
      <c r="F21" s="12"/>
      <c r="G21" s="12"/>
      <c r="H21" s="13"/>
      <c r="I21" s="44"/>
      <c r="J21" s="45"/>
      <c r="K21" s="14"/>
      <c r="L21" s="46"/>
    </row>
    <row r="22" ht="16.5" spans="1:12">
      <c r="A22" s="47"/>
      <c r="B22" s="10"/>
      <c r="C22" s="11"/>
      <c r="D22" s="12"/>
      <c r="E22" s="11"/>
      <c r="F22" s="12"/>
      <c r="G22" s="11"/>
      <c r="H22" s="12"/>
      <c r="I22" s="44"/>
      <c r="J22" s="45"/>
      <c r="K22" s="14"/>
      <c r="L22" s="46"/>
    </row>
    <row r="23" ht="16.5" spans="1:12">
      <c r="A23" s="47"/>
      <c r="B23" s="10"/>
      <c r="C23" s="11"/>
      <c r="D23" s="12"/>
      <c r="E23" s="11"/>
      <c r="F23" s="12"/>
      <c r="G23" s="11"/>
      <c r="H23" s="12"/>
      <c r="I23" s="44"/>
      <c r="J23" s="45"/>
      <c r="K23" s="53"/>
      <c r="L23" s="55"/>
    </row>
    <row r="24" ht="16.5" spans="1:12">
      <c r="A24" s="47"/>
      <c r="B24" s="10"/>
      <c r="C24" s="11"/>
      <c r="D24" s="12"/>
      <c r="E24" s="11"/>
      <c r="F24" s="12"/>
      <c r="G24" s="11"/>
      <c r="H24" s="44"/>
      <c r="I24" s="44"/>
      <c r="J24" s="53"/>
      <c r="K24" s="53"/>
      <c r="L24" s="55"/>
    </row>
    <row r="25" ht="16.5" spans="1:12">
      <c r="A25" s="47"/>
      <c r="B25" s="10"/>
      <c r="C25" s="11"/>
      <c r="D25" s="11"/>
      <c r="E25" s="12"/>
      <c r="F25" s="11"/>
      <c r="G25" s="12"/>
      <c r="H25" s="44"/>
      <c r="I25" s="44"/>
      <c r="J25" s="53"/>
      <c r="K25" s="14"/>
      <c r="L25" s="55"/>
    </row>
    <row r="26" ht="16.5" spans="1:12">
      <c r="A26" s="56"/>
      <c r="B26" s="16"/>
      <c r="C26" s="17" t="s">
        <v>16</v>
      </c>
      <c r="D26" s="18">
        <f>SUM(D9:D25)</f>
        <v>0</v>
      </c>
      <c r="E26" s="18">
        <f>SUM(E9:E25)</f>
        <v>0</v>
      </c>
      <c r="F26" s="18">
        <f>SUM(F9:F25)</f>
        <v>0</v>
      </c>
      <c r="G26" s="18">
        <f>SUM(G9:G25)</f>
        <v>0</v>
      </c>
      <c r="H26" s="19">
        <f>SUM(H10:H25)</f>
        <v>0</v>
      </c>
      <c r="I26" s="44"/>
      <c r="J26" s="19"/>
      <c r="K26" s="14"/>
      <c r="L26" s="48"/>
    </row>
    <row r="27" ht="16.5" spans="1:12">
      <c r="A27" s="20" t="s">
        <v>33</v>
      </c>
      <c r="B27" s="20" t="s">
        <v>13</v>
      </c>
      <c r="C27" s="11"/>
      <c r="D27" s="11"/>
      <c r="E27" s="11"/>
      <c r="F27" s="12"/>
      <c r="G27" s="12"/>
      <c r="H27" s="13"/>
      <c r="I27" s="44"/>
      <c r="J27" s="13"/>
      <c r="K27" s="14"/>
      <c r="L27" s="29"/>
    </row>
    <row r="28" ht="16.5" spans="1:12">
      <c r="A28" s="10"/>
      <c r="B28" s="16"/>
      <c r="C28" s="17" t="s">
        <v>16</v>
      </c>
      <c r="D28" s="18">
        <f>SUM(D27)</f>
        <v>0</v>
      </c>
      <c r="E28" s="18">
        <f>SUM(E27)</f>
        <v>0</v>
      </c>
      <c r="F28" s="18">
        <f>SUM(F27)</f>
        <v>0</v>
      </c>
      <c r="G28" s="18">
        <f>SUM(G27)</f>
        <v>0</v>
      </c>
      <c r="H28" s="19">
        <f>SUM(H27)</f>
        <v>0</v>
      </c>
      <c r="I28" s="44"/>
      <c r="J28" s="19"/>
      <c r="K28" s="14"/>
      <c r="L28" s="28"/>
    </row>
    <row r="29" ht="16.5" spans="1:12">
      <c r="A29" s="10"/>
      <c r="B29" s="20" t="s">
        <v>14</v>
      </c>
      <c r="C29" s="11"/>
      <c r="D29" s="12"/>
      <c r="E29" s="12"/>
      <c r="F29" s="12"/>
      <c r="G29" s="12"/>
      <c r="H29" s="13"/>
      <c r="I29" s="44"/>
      <c r="J29" s="45"/>
      <c r="K29" s="14"/>
      <c r="L29" s="46"/>
    </row>
    <row r="30" ht="16.5" spans="1:12">
      <c r="A30" s="10"/>
      <c r="B30" s="10"/>
      <c r="C30" s="11"/>
      <c r="D30" s="11"/>
      <c r="E30" s="11"/>
      <c r="F30" s="12"/>
      <c r="G30" s="44"/>
      <c r="H30" s="13"/>
      <c r="I30" s="44"/>
      <c r="J30" s="13"/>
      <c r="K30" s="14"/>
      <c r="L30" s="27"/>
    </row>
    <row r="31" ht="16.5" spans="1:12">
      <c r="A31" s="10"/>
      <c r="B31" s="16" t="s">
        <v>14</v>
      </c>
      <c r="C31" s="17" t="s">
        <v>16</v>
      </c>
      <c r="D31" s="18">
        <f>SUM(D29:D30)</f>
        <v>0</v>
      </c>
      <c r="E31" s="18">
        <f>SUM(E29:E30)</f>
        <v>0</v>
      </c>
      <c r="F31" s="18">
        <f>SUM(F29:F30)</f>
        <v>0</v>
      </c>
      <c r="G31" s="18">
        <f>SUM(G29:G30)</f>
        <v>0</v>
      </c>
      <c r="H31" s="19">
        <f>SUM(H29:H30)</f>
        <v>0</v>
      </c>
      <c r="I31" s="44"/>
      <c r="J31" s="19"/>
      <c r="K31" s="14"/>
      <c r="L31" s="28"/>
    </row>
    <row r="32" ht="29" customHeight="1" spans="1:12">
      <c r="A32" s="10"/>
      <c r="B32" s="20" t="s">
        <v>15</v>
      </c>
      <c r="C32" s="11"/>
      <c r="D32" s="12"/>
      <c r="E32" s="12"/>
      <c r="F32" s="12"/>
      <c r="G32" s="12"/>
      <c r="H32" s="13"/>
      <c r="I32" s="44"/>
      <c r="J32" s="45"/>
      <c r="K32" s="14"/>
      <c r="L32" s="27"/>
    </row>
    <row r="33" ht="16.5" spans="1:12">
      <c r="A33" s="10"/>
      <c r="B33" s="10"/>
      <c r="C33" s="11"/>
      <c r="D33" s="12"/>
      <c r="E33" s="12"/>
      <c r="F33" s="12"/>
      <c r="G33" s="12"/>
      <c r="H33" s="13"/>
      <c r="I33" s="44"/>
      <c r="J33" s="57"/>
      <c r="K33" s="14"/>
      <c r="L33" s="28"/>
    </row>
    <row r="34" ht="16.5" spans="1:12">
      <c r="A34" s="16"/>
      <c r="B34" s="16" t="s">
        <v>15</v>
      </c>
      <c r="C34" s="17" t="s">
        <v>16</v>
      </c>
      <c r="D34" s="18">
        <f>SUM(D32:D33)</f>
        <v>0</v>
      </c>
      <c r="E34" s="18">
        <f>SUM(E32:E33)</f>
        <v>0</v>
      </c>
      <c r="F34" s="18">
        <f>SUM(F32:F33)</f>
        <v>0</v>
      </c>
      <c r="G34" s="18">
        <f>SUM(G32:G33)</f>
        <v>0</v>
      </c>
      <c r="H34" s="19">
        <f>SUM(H32:H33)</f>
        <v>0</v>
      </c>
      <c r="I34" s="44"/>
      <c r="J34" s="19"/>
      <c r="K34" s="14"/>
      <c r="L34" s="28"/>
    </row>
    <row r="35" ht="16.5" spans="1:12">
      <c r="A35" s="21" t="s">
        <v>18</v>
      </c>
      <c r="B35" s="21" t="s">
        <v>13</v>
      </c>
      <c r="C35" s="58"/>
      <c r="D35" s="59">
        <f>D5+D28</f>
        <v>0</v>
      </c>
      <c r="E35" s="59">
        <f>E5+E28</f>
        <v>0</v>
      </c>
      <c r="F35" s="21">
        <f>F5+F28</f>
        <v>0</v>
      </c>
      <c r="G35" s="21">
        <f>G5+G28</f>
        <v>0</v>
      </c>
      <c r="H35" s="60">
        <f>H5+H28</f>
        <v>0</v>
      </c>
      <c r="I35" s="60"/>
      <c r="J35" s="60"/>
      <c r="K35" s="58"/>
      <c r="L35" s="58"/>
    </row>
    <row r="36" ht="16.5" spans="1:12">
      <c r="A36" s="21"/>
      <c r="B36" s="21" t="s">
        <v>14</v>
      </c>
      <c r="C36" s="58"/>
      <c r="D36" s="59">
        <f>D6+D29</f>
        <v>0</v>
      </c>
      <c r="E36" s="59">
        <f>E8+E31</f>
        <v>0</v>
      </c>
      <c r="F36" s="21">
        <f>F8+F31</f>
        <v>0</v>
      </c>
      <c r="G36" s="21">
        <f>G8+G31</f>
        <v>0</v>
      </c>
      <c r="H36" s="60">
        <f>H8+H31</f>
        <v>0</v>
      </c>
      <c r="I36" s="60"/>
      <c r="J36" s="60"/>
      <c r="K36" s="58"/>
      <c r="L36" s="58"/>
    </row>
    <row r="37" ht="16.5" spans="1:12">
      <c r="A37" s="21"/>
      <c r="B37" s="21" t="s">
        <v>15</v>
      </c>
      <c r="C37" s="58"/>
      <c r="D37" s="59">
        <f>D34+D26</f>
        <v>0</v>
      </c>
      <c r="E37" s="59">
        <f>E26+E34</f>
        <v>0</v>
      </c>
      <c r="F37" s="21">
        <f>F26+F34</f>
        <v>0</v>
      </c>
      <c r="G37" s="21">
        <f>G26+G34</f>
        <v>0</v>
      </c>
      <c r="H37" s="60">
        <f>H26+H34</f>
        <v>0</v>
      </c>
      <c r="I37" s="60"/>
      <c r="J37" s="60"/>
      <c r="K37" s="58"/>
      <c r="L37" s="58"/>
    </row>
    <row r="38" ht="22.5" spans="1:12">
      <c r="A38" s="33" t="s">
        <v>45</v>
      </c>
      <c r="B38" s="33"/>
      <c r="C38" s="33"/>
      <c r="D38" s="61"/>
      <c r="E38" s="61"/>
      <c r="F38" s="33"/>
      <c r="G38" s="33"/>
      <c r="H38" s="61"/>
      <c r="I38" s="61"/>
      <c r="J38" s="61"/>
      <c r="K38" s="33"/>
    </row>
    <row r="39" ht="16.5" spans="1:12">
      <c r="A39" s="6" t="s">
        <v>21</v>
      </c>
      <c r="B39" s="6" t="s">
        <v>46</v>
      </c>
      <c r="C39" s="6" t="s">
        <v>38</v>
      </c>
      <c r="D39" s="7" t="s">
        <v>47</v>
      </c>
      <c r="E39" s="7" t="s">
        <v>48</v>
      </c>
      <c r="F39" s="6" t="s">
        <v>9</v>
      </c>
      <c r="G39" s="6" t="s">
        <v>10</v>
      </c>
      <c r="H39" s="8" t="s">
        <v>11</v>
      </c>
      <c r="I39" s="8"/>
      <c r="J39" s="9" t="s">
        <v>49</v>
      </c>
      <c r="K39" s="25"/>
    </row>
    <row r="40" ht="16.5" spans="1:12">
      <c r="A40" s="11" t="s">
        <v>34</v>
      </c>
      <c r="B40" s="27" t="s">
        <v>13</v>
      </c>
      <c r="C40" s="49"/>
      <c r="D40" s="11"/>
      <c r="E40" s="49"/>
      <c r="F40" s="11"/>
      <c r="G40" s="49"/>
      <c r="H40" s="13"/>
      <c r="I40" s="13"/>
      <c r="J40" s="53"/>
      <c r="K40" s="48"/>
    </row>
    <row r="41" ht="16.5" spans="1:12">
      <c r="A41" s="11"/>
      <c r="B41" s="27"/>
      <c r="C41" s="11"/>
      <c r="D41" s="11"/>
      <c r="E41" s="11"/>
      <c r="F41" s="12"/>
      <c r="G41" s="12"/>
      <c r="H41" s="13"/>
      <c r="I41" s="13"/>
      <c r="J41" s="53"/>
      <c r="K41" s="48"/>
    </row>
    <row r="42" ht="16.5" spans="1:12">
      <c r="A42" s="11"/>
      <c r="B42" s="27"/>
      <c r="C42" s="17" t="s">
        <v>16</v>
      </c>
      <c r="D42" s="18">
        <f>SUM(D40:D41)</f>
        <v>0</v>
      </c>
      <c r="E42" s="18">
        <f>SUM(E40:E41)</f>
        <v>0</v>
      </c>
      <c r="F42" s="18">
        <f>SUM(F40:F41)</f>
        <v>0</v>
      </c>
      <c r="G42" s="18">
        <f>SUM(G40:G41)</f>
        <v>0</v>
      </c>
      <c r="H42" s="19">
        <f>SUM(H40:H41)</f>
        <v>0</v>
      </c>
      <c r="I42" s="19"/>
      <c r="J42" s="14"/>
      <c r="K42" s="46"/>
    </row>
    <row r="43" ht="16.5" spans="1:12">
      <c r="A43" s="11"/>
      <c r="B43" s="27" t="s">
        <v>14</v>
      </c>
      <c r="C43" s="11"/>
      <c r="D43" s="11"/>
      <c r="E43" s="11"/>
      <c r="F43" s="31"/>
      <c r="G43" s="11">
        <v>0</v>
      </c>
      <c r="H43" s="13"/>
      <c r="I43" s="13"/>
      <c r="J43" s="14"/>
      <c r="K43" s="48"/>
    </row>
    <row r="44" ht="16.5" spans="1:12">
      <c r="A44" s="11"/>
      <c r="B44" s="27"/>
      <c r="C44" s="17" t="s">
        <v>16</v>
      </c>
      <c r="D44" s="18">
        <f>SUM(D43)</f>
        <v>0</v>
      </c>
      <c r="E44" s="18">
        <f>SUM(E43)</f>
        <v>0</v>
      </c>
      <c r="F44" s="18">
        <f>SUM(F43)</f>
        <v>0</v>
      </c>
      <c r="G44" s="18">
        <f>SUM(G43)</f>
        <v>0</v>
      </c>
      <c r="H44" s="19">
        <f>SUM(H43)</f>
        <v>0</v>
      </c>
      <c r="I44" s="19"/>
      <c r="J44" s="14"/>
      <c r="K44" s="46"/>
    </row>
    <row r="45" ht="16.5" spans="1:12">
      <c r="A45" s="11"/>
      <c r="B45" s="27" t="s">
        <v>15</v>
      </c>
      <c r="C45" s="11"/>
      <c r="D45" s="11"/>
      <c r="E45" s="12"/>
      <c r="F45" s="31"/>
      <c r="G45" s="12"/>
      <c r="H45" s="13"/>
      <c r="I45" s="13"/>
      <c r="J45" s="62"/>
      <c r="K45" s="46"/>
    </row>
    <row r="46" ht="16.5" spans="1:12">
      <c r="A46" s="11"/>
      <c r="B46" s="27"/>
      <c r="C46" s="11"/>
      <c r="D46" s="11"/>
      <c r="E46" s="12"/>
      <c r="F46" s="31"/>
      <c r="G46" s="12"/>
      <c r="H46" s="13"/>
      <c r="I46" s="13"/>
      <c r="J46" s="11"/>
      <c r="K46" s="11"/>
    </row>
    <row r="47" ht="16.5" spans="1:12">
      <c r="A47" s="11"/>
      <c r="B47" s="27"/>
      <c r="C47" s="11"/>
      <c r="D47" s="11"/>
      <c r="E47" s="12"/>
      <c r="F47" s="11"/>
      <c r="G47" s="12"/>
      <c r="H47" s="13"/>
      <c r="I47" s="13"/>
      <c r="J47" s="14"/>
      <c r="K47" s="48"/>
    </row>
    <row r="48" ht="16.5" spans="1:12">
      <c r="A48" s="11"/>
      <c r="B48" s="27"/>
      <c r="C48" s="11"/>
      <c r="D48" s="11"/>
      <c r="E48" s="12"/>
      <c r="F48" s="11"/>
      <c r="G48" s="12"/>
      <c r="H48" s="13"/>
      <c r="I48" s="13"/>
      <c r="J48" s="14"/>
      <c r="K48" s="48"/>
    </row>
    <row r="49" ht="16.5" spans="1:11">
      <c r="A49" s="11"/>
      <c r="B49" s="27"/>
      <c r="C49" s="11"/>
      <c r="D49" s="63"/>
      <c r="E49" s="11"/>
      <c r="F49" s="63"/>
      <c r="G49" s="12"/>
      <c r="H49" s="13"/>
      <c r="I49" s="13"/>
      <c r="J49" s="64"/>
      <c r="K49" s="46"/>
    </row>
    <row r="50" ht="16.5" spans="1:11">
      <c r="A50" s="11"/>
      <c r="B50" s="27"/>
      <c r="C50" s="11"/>
      <c r="D50" s="63"/>
      <c r="E50" s="11"/>
      <c r="F50" s="63"/>
      <c r="G50" s="11"/>
      <c r="H50" s="13"/>
      <c r="I50" s="13"/>
      <c r="J50" s="64"/>
      <c r="K50" s="46"/>
    </row>
    <row r="51" ht="16.5" spans="1:11">
      <c r="A51" s="11"/>
      <c r="B51" s="27"/>
      <c r="C51" s="11"/>
      <c r="D51" s="63"/>
      <c r="E51" s="11"/>
      <c r="F51" s="63"/>
      <c r="G51" s="11"/>
      <c r="H51" s="13"/>
      <c r="I51" s="13"/>
      <c r="J51" s="64"/>
      <c r="K51" s="46"/>
    </row>
    <row r="52" ht="16.5" spans="1:11">
      <c r="A52" s="11"/>
      <c r="B52" s="27"/>
      <c r="C52" s="11"/>
      <c r="D52" s="63"/>
      <c r="E52" s="11"/>
      <c r="F52" s="63"/>
      <c r="G52" s="11"/>
      <c r="H52" s="13"/>
      <c r="I52" s="13"/>
      <c r="J52" s="64"/>
      <c r="K52" s="46"/>
    </row>
    <row r="53" ht="16.5" spans="1:11">
      <c r="A53" s="11"/>
      <c r="B53" s="27"/>
      <c r="C53" s="17" t="s">
        <v>16</v>
      </c>
      <c r="D53" s="18">
        <f>SUM(D45:D52)</f>
        <v>0</v>
      </c>
      <c r="E53" s="18">
        <f>SUM(E45:E52)</f>
        <v>0</v>
      </c>
      <c r="F53" s="18">
        <f>SUM(F45:F52)</f>
        <v>0</v>
      </c>
      <c r="G53" s="18">
        <f>SUM(G45:G52)</f>
        <v>0</v>
      </c>
      <c r="H53" s="19">
        <f>SUM(H45:H52)</f>
        <v>0</v>
      </c>
      <c r="I53" s="19"/>
      <c r="J53" s="14"/>
      <c r="K53" s="46"/>
    </row>
    <row r="54" ht="16.5" spans="1:11">
      <c r="A54" s="27" t="s">
        <v>33</v>
      </c>
      <c r="B54" s="20" t="s">
        <v>13</v>
      </c>
      <c r="C54" s="11"/>
      <c r="D54" s="11"/>
      <c r="E54" s="11"/>
      <c r="F54" s="11"/>
      <c r="G54" s="65"/>
      <c r="H54" s="13"/>
      <c r="I54" s="13"/>
      <c r="J54" s="14"/>
      <c r="K54" s="31"/>
    </row>
    <row r="55" ht="16.5" spans="1:11">
      <c r="A55" s="27"/>
      <c r="B55" s="10"/>
      <c r="C55" s="11"/>
      <c r="D55" s="11"/>
      <c r="E55" s="11"/>
      <c r="F55" s="12"/>
      <c r="G55" s="12"/>
      <c r="H55" s="13"/>
      <c r="I55" s="13"/>
      <c r="J55" s="14"/>
      <c r="K55" s="31"/>
    </row>
    <row r="56" ht="16.5" spans="1:11">
      <c r="A56" s="27"/>
      <c r="B56" s="16"/>
      <c r="C56" s="17" t="s">
        <v>16</v>
      </c>
      <c r="D56" s="18">
        <f>SUM(D54:D55)</f>
        <v>0</v>
      </c>
      <c r="E56" s="18">
        <f>SUM(E54:E55)</f>
        <v>0</v>
      </c>
      <c r="F56" s="18">
        <f>SUM(F54:F55)</f>
        <v>0</v>
      </c>
      <c r="G56" s="18">
        <f>SUM(G54:G55)</f>
        <v>0</v>
      </c>
      <c r="H56" s="19">
        <f>SUM(H54:H55)</f>
        <v>0</v>
      </c>
      <c r="I56" s="19"/>
      <c r="J56" s="14"/>
      <c r="K56" s="11"/>
    </row>
    <row r="57" ht="16.5" spans="1:11">
      <c r="A57" s="27"/>
      <c r="B57" s="20" t="s">
        <v>14</v>
      </c>
      <c r="C57" s="11"/>
      <c r="D57" s="11"/>
      <c r="E57" s="11"/>
      <c r="F57" s="31"/>
      <c r="G57" s="11"/>
      <c r="H57" s="13"/>
      <c r="I57" s="13"/>
      <c r="J57" s="14"/>
      <c r="K57" s="31"/>
    </row>
    <row r="58" ht="16.5" spans="1:11">
      <c r="A58" s="27"/>
      <c r="B58" s="16"/>
      <c r="C58" s="17" t="s">
        <v>16</v>
      </c>
      <c r="D58" s="18">
        <f>SUM(D57)</f>
        <v>0</v>
      </c>
      <c r="E58" s="18">
        <f>SUM(E57)</f>
        <v>0</v>
      </c>
      <c r="F58" s="18">
        <f>SUM(F57)</f>
        <v>0</v>
      </c>
      <c r="G58" s="18">
        <f>SUM(G57)</f>
        <v>0</v>
      </c>
      <c r="H58" s="19">
        <f>SUM(H57)</f>
        <v>0</v>
      </c>
      <c r="I58" s="19"/>
      <c r="J58" s="14"/>
      <c r="K58" s="11"/>
    </row>
    <row r="59" ht="16.5" spans="1:11">
      <c r="A59" s="27"/>
      <c r="B59" s="10" t="s">
        <v>15</v>
      </c>
      <c r="C59" s="11"/>
      <c r="D59" s="11"/>
      <c r="E59" s="11"/>
      <c r="F59" s="31"/>
      <c r="G59" s="11"/>
      <c r="H59" s="13"/>
      <c r="I59" s="13"/>
      <c r="J59" s="14"/>
      <c r="K59" s="31"/>
    </row>
    <row r="60" ht="16.5" spans="1:11">
      <c r="A60" s="27"/>
      <c r="B60" s="10"/>
      <c r="C60" s="11"/>
      <c r="D60" s="12"/>
      <c r="E60" s="12"/>
      <c r="F60" s="12"/>
      <c r="G60" s="12"/>
      <c r="H60" s="13"/>
      <c r="I60" s="13"/>
      <c r="J60" s="14"/>
      <c r="K60" s="11"/>
    </row>
    <row r="61" ht="16.5" spans="1:11">
      <c r="A61" s="27"/>
      <c r="B61" s="16"/>
      <c r="C61" s="17" t="s">
        <v>16</v>
      </c>
      <c r="D61" s="18">
        <f>SUM(D59:D60)</f>
        <v>0</v>
      </c>
      <c r="E61" s="18">
        <f>SUM(E59:E60)</f>
        <v>0</v>
      </c>
      <c r="F61" s="18">
        <f>SUM(F59:F60)</f>
        <v>0</v>
      </c>
      <c r="G61" s="18">
        <f>SUM(G59:G60)</f>
        <v>0</v>
      </c>
      <c r="H61" s="18">
        <f>SUM(H59:H60)</f>
        <v>0</v>
      </c>
      <c r="I61" s="18"/>
      <c r="J61" s="14"/>
      <c r="K61" s="11"/>
    </row>
    <row r="62" ht="16.5" spans="1:11">
      <c r="A62" s="21" t="s">
        <v>18</v>
      </c>
      <c r="B62" s="21" t="s">
        <v>13</v>
      </c>
      <c r="C62" s="58"/>
      <c r="D62" s="59">
        <f>D42+D56</f>
        <v>0</v>
      </c>
      <c r="E62" s="59">
        <f>E42+E56</f>
        <v>0</v>
      </c>
      <c r="F62" s="21">
        <f>F42+F56</f>
        <v>0</v>
      </c>
      <c r="G62" s="21">
        <f>G42+G56</f>
        <v>0</v>
      </c>
      <c r="H62" s="60">
        <f>H42+H56</f>
        <v>0</v>
      </c>
      <c r="I62" s="60"/>
      <c r="J62" s="58"/>
      <c r="K62" s="58"/>
    </row>
    <row r="63" ht="16.5" spans="1:11">
      <c r="A63" s="21"/>
      <c r="B63" s="21" t="s">
        <v>14</v>
      </c>
      <c r="C63" s="58"/>
      <c r="D63" s="59">
        <f>D44+D58</f>
        <v>0</v>
      </c>
      <c r="E63" s="59">
        <f>E44+E58</f>
        <v>0</v>
      </c>
      <c r="F63" s="21">
        <f>F44+F58</f>
        <v>0</v>
      </c>
      <c r="G63" s="21">
        <f>G44+G58</f>
        <v>0</v>
      </c>
      <c r="H63" s="60">
        <f>H44+H58</f>
        <v>0</v>
      </c>
      <c r="I63" s="60"/>
      <c r="J63" s="58"/>
      <c r="K63" s="58"/>
    </row>
    <row r="64" ht="16.5" spans="1:11">
      <c r="A64" s="21"/>
      <c r="B64" s="21" t="s">
        <v>15</v>
      </c>
      <c r="C64" s="58"/>
      <c r="D64" s="59">
        <f>D53+D61</f>
        <v>0</v>
      </c>
      <c r="E64" s="59">
        <f>E53+E61</f>
        <v>0</v>
      </c>
      <c r="F64" s="21">
        <f>F53+F61</f>
        <v>0</v>
      </c>
      <c r="G64" s="21">
        <f>G53+G61</f>
        <v>0</v>
      </c>
      <c r="H64" s="60">
        <f>H53+H61</f>
        <v>0</v>
      </c>
      <c r="I64" s="60"/>
      <c r="J64" s="58"/>
      <c r="K64" s="58"/>
    </row>
    <row r="65" spans="1:10">
      <c r="F65" s="65"/>
    </row>
    <row r="66" spans="1:10">
      <c r="F66" s="65"/>
    </row>
    <row r="67" ht="22.5" spans="1:10">
      <c r="A67" s="33" t="s">
        <v>50</v>
      </c>
      <c r="B67" s="33"/>
      <c r="C67" s="33"/>
      <c r="D67" s="34"/>
      <c r="E67" s="34"/>
      <c r="F67" s="33"/>
      <c r="G67" s="33"/>
      <c r="H67" s="66"/>
      <c r="I67" s="67"/>
      <c r="J67" s="67"/>
    </row>
    <row r="68" ht="16.5" spans="1:10">
      <c r="A68" s="68"/>
      <c r="B68" s="69"/>
      <c r="C68" s="69"/>
      <c r="D68" s="70"/>
      <c r="E68" s="71"/>
      <c r="F68" s="72"/>
      <c r="G68" s="72"/>
      <c r="H68" s="73"/>
      <c r="I68" s="74"/>
      <c r="J68" s="75"/>
    </row>
    <row r="69" ht="16.5" spans="1:10">
      <c r="A69" s="68"/>
      <c r="B69" s="76"/>
      <c r="C69" s="77"/>
      <c r="D69" s="70"/>
      <c r="E69" s="71"/>
      <c r="F69" s="72"/>
      <c r="G69" s="72"/>
      <c r="H69" s="73"/>
      <c r="I69" s="74"/>
      <c r="J69" s="75"/>
    </row>
    <row r="70" ht="16.5" spans="1:10">
      <c r="A70" s="68"/>
      <c r="B70" s="76"/>
      <c r="C70" s="77"/>
      <c r="D70" s="70"/>
      <c r="E70" s="71"/>
      <c r="F70" s="72"/>
      <c r="G70" s="72"/>
      <c r="H70" s="73"/>
      <c r="I70" s="74"/>
      <c r="J70" s="75"/>
    </row>
    <row r="71" ht="16.5" spans="1:10">
      <c r="A71" s="68"/>
      <c r="B71" s="76"/>
      <c r="C71" s="77"/>
      <c r="D71" s="70"/>
      <c r="E71" s="71"/>
      <c r="F71" s="72"/>
      <c r="G71" s="72"/>
      <c r="H71" s="73"/>
      <c r="I71" s="74"/>
      <c r="J71" s="75"/>
    </row>
    <row r="72" ht="16.5" spans="1:10">
      <c r="A72" s="68"/>
      <c r="B72" s="76"/>
      <c r="C72" s="77"/>
      <c r="D72" s="70"/>
      <c r="E72" s="71"/>
      <c r="F72" s="72"/>
      <c r="G72" s="72"/>
      <c r="H72" s="73"/>
      <c r="I72" s="74"/>
      <c r="J72" s="75"/>
    </row>
  </sheetData>
  <mergeCells count="32">
    <mergeCell ref="A1:H1"/>
    <mergeCell ref="K1:L1"/>
    <mergeCell ref="A38:K38"/>
    <mergeCell ref="A67:H67"/>
    <mergeCell ref="B68:C68"/>
    <mergeCell ref="D68:H68"/>
    <mergeCell ref="B69:C69"/>
    <mergeCell ref="D69:H69"/>
    <mergeCell ref="B70:C70"/>
    <mergeCell ref="D70:H70"/>
    <mergeCell ref="B71:C71"/>
    <mergeCell ref="B72:C72"/>
    <mergeCell ref="D72:H72"/>
    <mergeCell ref="A3:A26"/>
    <mergeCell ref="A27:A34"/>
    <mergeCell ref="A35:A37"/>
    <mergeCell ref="A40:A53"/>
    <mergeCell ref="A54:A61"/>
    <mergeCell ref="A62:A64"/>
    <mergeCell ref="A68:A72"/>
    <mergeCell ref="B3:B5"/>
    <mergeCell ref="B6:B8"/>
    <mergeCell ref="B10:B26"/>
    <mergeCell ref="B27:B28"/>
    <mergeCell ref="B29:B31"/>
    <mergeCell ref="B32:B34"/>
    <mergeCell ref="B40:B42"/>
    <mergeCell ref="B43:B44"/>
    <mergeCell ref="B45:B53"/>
    <mergeCell ref="B54:B56"/>
    <mergeCell ref="B57:B58"/>
    <mergeCell ref="B59:B61"/>
  </mergeCells>
  <dataValidations count="1">
    <dataValidation type="list" allowBlank="1" showInputMessage="1" showErrorMessage="1" sqref="I3:I34">
      <formula1>"验收结算流程,挂账流程,付款计划发起,付款流程发起"</formula1>
    </dataValidation>
  </dataValidations>
  <pageMargins left="0.75" right="0.75" top="1" bottom="1" header="0.5" footer="0.5"/>
  <pageSetup paperSize="9" scale="66" orientation="landscape"/>
  <headerFooter/>
  <rowBreaks count="1" manualBreakCount="1">
    <brk id="37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8"/>
  <sheetViews>
    <sheetView zoomScale="110" zoomScaleNormal="110" workbookViewId="0">
      <selection activeCell="E52" sqref="E52"/>
    </sheetView>
  </sheetViews>
  <sheetFormatPr defaultColWidth="9" defaultRowHeight="13.5"/>
  <cols>
    <col min="1" max="1" width="15.75" customWidth="1"/>
    <col min="2" max="2" width="11.125" customWidth="1"/>
    <col min="3" max="3" width="17.25" customWidth="1"/>
    <col min="4" max="5" width="15.375" customWidth="1"/>
    <col min="6" max="6" width="11.375" customWidth="1"/>
    <col min="7" max="7" width="13.375" customWidth="1"/>
    <col min="8" max="8" width="15.75" customWidth="1"/>
    <col min="9" max="9" width="30.3333333333333" customWidth="1"/>
  </cols>
  <sheetData>
    <row r="1" ht="22.5" spans="1:10">
      <c r="A1" s="1" t="s">
        <v>35</v>
      </c>
      <c r="B1" s="2"/>
      <c r="C1" s="2"/>
      <c r="D1" s="2"/>
      <c r="E1" s="2"/>
      <c r="F1" s="2"/>
      <c r="G1" s="2"/>
      <c r="H1" s="3"/>
      <c r="I1" s="4" t="s">
        <v>36</v>
      </c>
      <c r="J1" s="5"/>
    </row>
    <row r="2" ht="16.5" spans="1:10">
      <c r="A2" s="6" t="s">
        <v>21</v>
      </c>
      <c r="B2" s="6" t="s">
        <v>37</v>
      </c>
      <c r="C2" s="6" t="s">
        <v>38</v>
      </c>
      <c r="D2" s="7" t="s">
        <v>39</v>
      </c>
      <c r="E2" s="7" t="s">
        <v>40</v>
      </c>
      <c r="F2" s="6" t="s">
        <v>4</v>
      </c>
      <c r="G2" s="6" t="s">
        <v>5</v>
      </c>
      <c r="H2" s="8" t="s">
        <v>6</v>
      </c>
      <c r="I2" s="9" t="s">
        <v>42</v>
      </c>
      <c r="J2" s="6" t="s">
        <v>43</v>
      </c>
    </row>
    <row r="3" ht="16.5" spans="1:10">
      <c r="A3" s="10" t="s">
        <v>31</v>
      </c>
      <c r="B3" s="10" t="s">
        <v>13</v>
      </c>
      <c r="C3" s="11"/>
      <c r="D3" s="12"/>
      <c r="E3" s="12"/>
      <c r="F3" s="12"/>
      <c r="G3" s="12"/>
      <c r="H3" s="13"/>
      <c r="I3" s="14"/>
      <c r="J3" s="15"/>
    </row>
    <row r="4" ht="16.5" spans="1:10">
      <c r="A4" s="10"/>
      <c r="B4" s="10"/>
      <c r="C4" s="11"/>
      <c r="D4" s="12"/>
      <c r="E4" s="12"/>
      <c r="F4" s="12"/>
      <c r="G4" s="12"/>
      <c r="H4" s="13"/>
      <c r="I4" s="14"/>
      <c r="J4" s="15"/>
    </row>
    <row r="5" ht="16.5" spans="1:10">
      <c r="A5" s="10"/>
      <c r="B5" s="16"/>
      <c r="C5" s="17" t="s">
        <v>16</v>
      </c>
      <c r="D5" s="18">
        <f>SUM(D3:D4)</f>
        <v>0</v>
      </c>
      <c r="E5" s="18">
        <f>SUM(E3:E4)</f>
        <v>0</v>
      </c>
      <c r="F5" s="18">
        <f>SUM(F3:F4)</f>
        <v>0</v>
      </c>
      <c r="G5" s="18">
        <f>SUM(G3:G4)</f>
        <v>0</v>
      </c>
      <c r="H5" s="19">
        <f>SUM(H3:H4)</f>
        <v>0</v>
      </c>
      <c r="I5" s="14"/>
      <c r="J5" s="15"/>
    </row>
    <row r="6" ht="16.5" spans="1:10">
      <c r="A6" s="10"/>
      <c r="B6" s="20" t="s">
        <v>14</v>
      </c>
      <c r="C6" s="11"/>
      <c r="D6" s="11"/>
      <c r="E6" s="11"/>
      <c r="F6" s="12"/>
      <c r="G6" s="12"/>
      <c r="H6" s="13"/>
      <c r="I6" s="14"/>
      <c r="J6" s="11"/>
    </row>
    <row r="7" ht="16.5" spans="1:10">
      <c r="A7" s="10"/>
      <c r="B7" s="16" t="s">
        <v>14</v>
      </c>
      <c r="C7" s="17" t="s">
        <v>16</v>
      </c>
      <c r="D7" s="18">
        <f>SUM(D6)</f>
        <v>0</v>
      </c>
      <c r="E7" s="18">
        <f>SUM(E6)</f>
        <v>0</v>
      </c>
      <c r="F7" s="18">
        <f>SUM(F6)</f>
        <v>0</v>
      </c>
      <c r="G7" s="18">
        <f>SUM(G6)</f>
        <v>0</v>
      </c>
      <c r="H7" s="19">
        <f>SUM(H6)</f>
        <v>0</v>
      </c>
      <c r="I7" s="14"/>
      <c r="J7" s="15"/>
    </row>
    <row r="8" ht="16.5" spans="1:10">
      <c r="A8" s="10"/>
      <c r="B8" s="20" t="s">
        <v>15</v>
      </c>
      <c r="C8" s="11"/>
      <c r="D8" s="12"/>
      <c r="E8" s="12"/>
      <c r="F8" s="12"/>
      <c r="G8" s="12"/>
      <c r="H8" s="13"/>
      <c r="I8" s="14"/>
      <c r="J8" s="11"/>
    </row>
    <row r="9" ht="16.5" spans="1:10">
      <c r="A9" s="10"/>
      <c r="B9" s="10"/>
      <c r="C9" s="11"/>
      <c r="D9" s="12"/>
      <c r="E9" s="12"/>
      <c r="F9" s="12"/>
      <c r="G9" s="12"/>
      <c r="H9" s="13"/>
      <c r="I9" s="14"/>
      <c r="J9" s="15"/>
    </row>
    <row r="10" ht="16.5" spans="1:10">
      <c r="A10" s="16"/>
      <c r="B10" s="16" t="s">
        <v>15</v>
      </c>
      <c r="C10" s="17" t="s">
        <v>16</v>
      </c>
      <c r="D10" s="18">
        <f>SUM(D8:D9)</f>
        <v>0</v>
      </c>
      <c r="E10" s="18">
        <f>SUM(E8:E9)</f>
        <v>0</v>
      </c>
      <c r="F10" s="18">
        <f>SUM(F8:F9)</f>
        <v>0</v>
      </c>
      <c r="G10" s="18">
        <f>SUM(G8:G9)</f>
        <v>0</v>
      </c>
      <c r="H10" s="18">
        <f>SUM(H8:H9)</f>
        <v>0</v>
      </c>
      <c r="I10" s="14"/>
      <c r="J10" s="15"/>
    </row>
    <row r="11" ht="16.5" spans="1:10">
      <c r="A11" s="20" t="s">
        <v>30</v>
      </c>
      <c r="B11" s="20" t="s">
        <v>13</v>
      </c>
      <c r="C11" s="11"/>
      <c r="D11" s="12"/>
      <c r="E11" s="12"/>
      <c r="F11" s="12"/>
      <c r="G11" s="12"/>
      <c r="H11" s="13"/>
      <c r="I11" s="14"/>
      <c r="J11" s="11"/>
    </row>
    <row r="12" ht="16.5" spans="1:10">
      <c r="A12" s="10"/>
      <c r="B12" s="10"/>
      <c r="C12" s="11"/>
      <c r="D12" s="12"/>
      <c r="E12" s="12"/>
      <c r="F12" s="12"/>
      <c r="G12" s="12"/>
      <c r="H12" s="13"/>
      <c r="I12" s="14"/>
      <c r="J12" s="15"/>
    </row>
    <row r="13" ht="16.5" spans="1:10">
      <c r="A13" s="10"/>
      <c r="B13" s="10"/>
      <c r="C13" s="11"/>
      <c r="D13" s="12"/>
      <c r="E13" s="12"/>
      <c r="F13" s="12"/>
      <c r="G13" s="12"/>
      <c r="H13" s="13"/>
      <c r="I13" s="14"/>
      <c r="J13" s="15"/>
    </row>
    <row r="14" ht="16.5" spans="1:10">
      <c r="A14" s="10"/>
      <c r="B14" s="16"/>
      <c r="C14" s="17" t="s">
        <v>16</v>
      </c>
      <c r="D14" s="18">
        <f>SUM(D11:D13)</f>
        <v>0</v>
      </c>
      <c r="E14" s="18">
        <f>SUM(E11:E13)</f>
        <v>0</v>
      </c>
      <c r="F14" s="18">
        <f>SUM(F11:F13)</f>
        <v>0</v>
      </c>
      <c r="G14" s="18">
        <f>SUM(G11:G13)</f>
        <v>0</v>
      </c>
      <c r="H14" s="18">
        <f>SUM(H11:H13)</f>
        <v>0</v>
      </c>
      <c r="I14" s="14"/>
      <c r="J14" s="15"/>
    </row>
    <row r="15" ht="16.5" spans="1:10">
      <c r="A15" s="10"/>
      <c r="B15" s="20" t="s">
        <v>14</v>
      </c>
      <c r="C15" s="11"/>
      <c r="D15" s="11"/>
      <c r="E15" s="11"/>
      <c r="F15" s="12"/>
      <c r="G15" s="12"/>
      <c r="H15" s="13"/>
      <c r="I15" s="14"/>
      <c r="J15" s="11"/>
    </row>
    <row r="16" ht="16.5" spans="1:10">
      <c r="A16" s="10"/>
      <c r="B16" s="16" t="s">
        <v>14</v>
      </c>
      <c r="C16" s="17" t="s">
        <v>16</v>
      </c>
      <c r="D16" s="18">
        <f>SUM(D15)</f>
        <v>0</v>
      </c>
      <c r="E16" s="18">
        <f>SUM(E15)</f>
        <v>0</v>
      </c>
      <c r="F16" s="18">
        <f>SUM(F15)</f>
        <v>0</v>
      </c>
      <c r="G16" s="18">
        <f>SUM(G15)</f>
        <v>0</v>
      </c>
      <c r="H16" s="19">
        <f>SUM(H15)</f>
        <v>0</v>
      </c>
      <c r="I16" s="14"/>
      <c r="J16" s="15"/>
    </row>
    <row r="17" ht="16.5" spans="1:10">
      <c r="A17" s="10"/>
      <c r="B17" s="20" t="s">
        <v>15</v>
      </c>
      <c r="C17" s="11"/>
      <c r="D17" s="11"/>
      <c r="E17" s="12"/>
      <c r="F17" s="12"/>
      <c r="G17" s="12"/>
      <c r="H17" s="13"/>
      <c r="I17" s="14"/>
      <c r="J17" s="11"/>
    </row>
    <row r="18" ht="16.5" spans="1:10">
      <c r="A18" s="10"/>
      <c r="B18" s="10"/>
      <c r="C18" s="11"/>
      <c r="D18" s="12"/>
      <c r="E18" s="12"/>
      <c r="F18" s="12"/>
      <c r="G18" s="12"/>
      <c r="H18" s="13"/>
      <c r="I18" s="14"/>
      <c r="J18" s="15"/>
    </row>
    <row r="19" ht="16.5" spans="1:10">
      <c r="A19" s="16"/>
      <c r="B19" s="16" t="s">
        <v>15</v>
      </c>
      <c r="C19" s="17" t="s">
        <v>16</v>
      </c>
      <c r="D19" s="18">
        <f>SUM(D17:D18)</f>
        <v>0</v>
      </c>
      <c r="E19" s="18">
        <f>SUM(E17:E18)</f>
        <v>0</v>
      </c>
      <c r="F19" s="18">
        <f>SUM(F17:F18)</f>
        <v>0</v>
      </c>
      <c r="G19" s="18">
        <f>SUM(G17:G18)</f>
        <v>0</v>
      </c>
      <c r="H19" s="18">
        <f>SUM(H17:H18)</f>
        <v>0</v>
      </c>
      <c r="I19" s="14"/>
      <c r="J19" s="15"/>
    </row>
    <row r="20" ht="16.5" spans="1:10">
      <c r="A20" s="21" t="s">
        <v>17</v>
      </c>
      <c r="B20" s="21" t="s">
        <v>13</v>
      </c>
      <c r="C20" s="22"/>
      <c r="D20" s="21">
        <f>D5+D14</f>
        <v>0</v>
      </c>
      <c r="E20" s="21">
        <f>E5+E14</f>
        <v>0</v>
      </c>
      <c r="F20" s="21">
        <f>F5+F14</f>
        <v>0</v>
      </c>
      <c r="G20" s="21">
        <f>G5+G14</f>
        <v>0</v>
      </c>
      <c r="H20" s="21">
        <f>H5+H14</f>
        <v>0</v>
      </c>
      <c r="I20" s="22"/>
      <c r="J20" s="22"/>
    </row>
    <row r="21" ht="16.5" spans="1:10">
      <c r="A21" s="21"/>
      <c r="B21" s="21" t="s">
        <v>14</v>
      </c>
      <c r="C21" s="22"/>
      <c r="D21" s="21">
        <f>D7+D16</f>
        <v>0</v>
      </c>
      <c r="E21" s="21">
        <f>E7+E16</f>
        <v>0</v>
      </c>
      <c r="F21" s="21">
        <f>F7+F16</f>
        <v>0</v>
      </c>
      <c r="G21" s="21">
        <f>G7+G16</f>
        <v>0</v>
      </c>
      <c r="H21" s="21">
        <f>H7+H16</f>
        <v>0</v>
      </c>
      <c r="I21" s="22"/>
      <c r="J21" s="22"/>
    </row>
    <row r="22" ht="16.5" spans="1:10">
      <c r="A22" s="21"/>
      <c r="B22" s="21" t="s">
        <v>15</v>
      </c>
      <c r="C22" s="22"/>
      <c r="D22" s="21">
        <f>D10+D19</f>
        <v>0</v>
      </c>
      <c r="E22" s="21">
        <f>E10+E19</f>
        <v>0</v>
      </c>
      <c r="F22" s="21">
        <f>F10+F19</f>
        <v>0</v>
      </c>
      <c r="G22" s="21">
        <f>G10+G19</f>
        <v>0</v>
      </c>
      <c r="H22" s="21">
        <f>H10+H19</f>
        <v>0</v>
      </c>
      <c r="I22" s="22"/>
      <c r="J22" s="22"/>
    </row>
    <row r="23" ht="22.5" spans="1:10">
      <c r="A23" s="1" t="s">
        <v>45</v>
      </c>
      <c r="B23" s="2"/>
      <c r="C23" s="2"/>
      <c r="D23" s="2"/>
      <c r="E23" s="2"/>
      <c r="F23" s="2"/>
      <c r="G23" s="2"/>
      <c r="H23" s="23"/>
      <c r="I23" s="2"/>
      <c r="J23" s="24"/>
    </row>
    <row r="24" ht="16.5" spans="1:10">
      <c r="A24" s="6" t="s">
        <v>21</v>
      </c>
      <c r="B24" s="6" t="s">
        <v>46</v>
      </c>
      <c r="C24" s="6" t="s">
        <v>38</v>
      </c>
      <c r="D24" s="7" t="s">
        <v>47</v>
      </c>
      <c r="E24" s="7" t="s">
        <v>48</v>
      </c>
      <c r="F24" s="6" t="s">
        <v>9</v>
      </c>
      <c r="G24" s="6" t="s">
        <v>10</v>
      </c>
      <c r="H24" s="8" t="s">
        <v>11</v>
      </c>
      <c r="I24" s="9" t="s">
        <v>49</v>
      </c>
      <c r="J24" s="25"/>
    </row>
    <row r="25" ht="16.5" spans="1:10">
      <c r="A25" s="20" t="s">
        <v>30</v>
      </c>
      <c r="B25" s="20" t="s">
        <v>13</v>
      </c>
      <c r="C25" s="11"/>
      <c r="D25" s="11"/>
      <c r="E25" s="11"/>
      <c r="F25" s="26"/>
      <c r="G25" s="12"/>
      <c r="H25" s="13"/>
      <c r="I25" s="14"/>
      <c r="J25" s="11"/>
    </row>
    <row r="26" ht="16.5" spans="1:10">
      <c r="A26" s="10"/>
      <c r="B26" s="10"/>
      <c r="C26" s="27"/>
      <c r="D26" s="18"/>
      <c r="E26" s="18"/>
      <c r="F26" s="18"/>
      <c r="G26" s="18"/>
      <c r="H26" s="19"/>
      <c r="I26" s="14"/>
      <c r="J26" s="28"/>
    </row>
    <row r="27" ht="16.5" spans="1:10">
      <c r="A27" s="10"/>
      <c r="B27" s="16"/>
      <c r="C27" s="17" t="s">
        <v>16</v>
      </c>
      <c r="D27" s="18">
        <f>SUM(D25:D26)</f>
        <v>0</v>
      </c>
      <c r="E27" s="18">
        <f>SUM(E25:E26)</f>
        <v>0</v>
      </c>
      <c r="F27" s="18">
        <f>SUM(F25:F26)</f>
        <v>0</v>
      </c>
      <c r="G27" s="18">
        <f>SUM(G25:G26)</f>
        <v>0</v>
      </c>
      <c r="H27" s="19">
        <f>SUM(H25:H26)</f>
        <v>0</v>
      </c>
      <c r="I27" s="14"/>
      <c r="J27" s="28"/>
    </row>
    <row r="28" ht="16.5" spans="1:10">
      <c r="A28" s="10"/>
      <c r="B28" s="20" t="s">
        <v>14</v>
      </c>
      <c r="C28" s="11"/>
      <c r="D28" s="11"/>
      <c r="E28" s="11"/>
      <c r="F28" s="12"/>
      <c r="G28" s="12"/>
      <c r="H28" s="13"/>
      <c r="I28" s="14"/>
      <c r="J28" s="27"/>
    </row>
    <row r="29" ht="16.5" spans="1:10">
      <c r="A29" s="10"/>
      <c r="B29" s="16" t="s">
        <v>14</v>
      </c>
      <c r="C29" s="17" t="s">
        <v>16</v>
      </c>
      <c r="D29" s="18">
        <f>SUM(D28)</f>
        <v>0</v>
      </c>
      <c r="E29" s="18">
        <f>SUM(E28)</f>
        <v>0</v>
      </c>
      <c r="F29" s="18">
        <f>SUM(F28)</f>
        <v>0</v>
      </c>
      <c r="G29" s="18">
        <f>SUM(G28)</f>
        <v>0</v>
      </c>
      <c r="H29" s="19">
        <f>SUM(H28)</f>
        <v>0</v>
      </c>
      <c r="I29" s="14"/>
      <c r="J29" s="28"/>
    </row>
    <row r="30" ht="16.5" spans="1:10">
      <c r="A30" s="10"/>
      <c r="B30" s="20" t="s">
        <v>15</v>
      </c>
      <c r="C30" s="11"/>
      <c r="D30" s="11"/>
      <c r="E30" s="11"/>
      <c r="F30" s="12"/>
      <c r="G30" s="12"/>
      <c r="H30" s="13"/>
      <c r="I30" s="14"/>
      <c r="J30" s="27"/>
    </row>
    <row r="31" ht="16.5" spans="1:10">
      <c r="A31" s="10"/>
      <c r="B31" s="10"/>
      <c r="C31" s="27"/>
      <c r="D31" s="18"/>
      <c r="E31" s="18"/>
      <c r="F31" s="18"/>
      <c r="G31" s="18"/>
      <c r="H31" s="13"/>
      <c r="I31" s="14"/>
      <c r="J31" s="28"/>
    </row>
    <row r="32" ht="16.5" spans="1:10">
      <c r="A32" s="16"/>
      <c r="B32" s="16" t="s">
        <v>15</v>
      </c>
      <c r="C32" s="17" t="s">
        <v>16</v>
      </c>
      <c r="D32" s="18">
        <f>SUM(D30:D31)</f>
        <v>0</v>
      </c>
      <c r="E32" s="18">
        <f>SUM(E30:E31)</f>
        <v>0</v>
      </c>
      <c r="F32" s="18">
        <f>SUM(F30:F31)</f>
        <v>0</v>
      </c>
      <c r="G32" s="18">
        <f>SUM(G30:G31)</f>
        <v>0</v>
      </c>
      <c r="H32" s="18">
        <f>SUM(H30:H31)</f>
        <v>0</v>
      </c>
      <c r="I32" s="14"/>
      <c r="J32" s="28"/>
    </row>
    <row r="33" ht="16.5" spans="1:10">
      <c r="A33" s="29" t="s">
        <v>31</v>
      </c>
      <c r="B33" s="27" t="s">
        <v>13</v>
      </c>
      <c r="C33" s="11"/>
      <c r="D33" s="26"/>
      <c r="E33" s="12"/>
      <c r="F33" s="26"/>
      <c r="G33" s="12"/>
      <c r="H33" s="13"/>
      <c r="I33" s="14"/>
      <c r="J33" s="30"/>
    </row>
    <row r="34" ht="16.5" spans="1:10">
      <c r="A34" s="29"/>
      <c r="B34" s="27"/>
      <c r="C34" s="11"/>
      <c r="D34" s="26"/>
      <c r="E34" s="11"/>
      <c r="F34" s="26"/>
      <c r="G34" s="12"/>
      <c r="H34" s="13"/>
      <c r="I34" s="14"/>
      <c r="J34" s="11"/>
    </row>
    <row r="35" ht="16.5" spans="1:10">
      <c r="A35" s="29"/>
      <c r="B35" s="27"/>
      <c r="C35" s="17" t="s">
        <v>16</v>
      </c>
      <c r="D35" s="18">
        <f>SUM(D33:D34)</f>
        <v>0</v>
      </c>
      <c r="E35" s="18">
        <f>SUM(E33:E34)</f>
        <v>0</v>
      </c>
      <c r="F35" s="18">
        <f>SUM(F33:F34)</f>
        <v>0</v>
      </c>
      <c r="G35" s="18">
        <f>SUM(G33:G34)</f>
        <v>0</v>
      </c>
      <c r="H35" s="19">
        <f>SUM(H33:H34)</f>
        <v>0</v>
      </c>
      <c r="I35" s="14"/>
      <c r="J35" s="29"/>
    </row>
    <row r="36" ht="16.5" spans="1:10">
      <c r="A36" s="29"/>
      <c r="B36" s="20" t="s">
        <v>14</v>
      </c>
      <c r="C36" s="11"/>
      <c r="D36" s="11"/>
      <c r="E36" s="11"/>
      <c r="F36" s="31"/>
      <c r="G36" s="11">
        <v>0</v>
      </c>
      <c r="H36" s="13"/>
      <c r="I36" s="14"/>
      <c r="J36" s="30"/>
    </row>
    <row r="37" ht="16.5" spans="1:10">
      <c r="A37" s="29"/>
      <c r="B37" s="16"/>
      <c r="C37" s="17" t="s">
        <v>16</v>
      </c>
      <c r="D37" s="18">
        <f>SUM(D36)</f>
        <v>0</v>
      </c>
      <c r="E37" s="18">
        <f>SUM(E36)</f>
        <v>0</v>
      </c>
      <c r="F37" s="18">
        <f>SUM(F36)</f>
        <v>0</v>
      </c>
      <c r="G37" s="18">
        <f>SUM(G36)</f>
        <v>0</v>
      </c>
      <c r="H37" s="19">
        <f>SUM(H36)</f>
        <v>0</v>
      </c>
      <c r="I37" s="14"/>
      <c r="J37" s="29"/>
    </row>
    <row r="38" ht="16.5" spans="1:10">
      <c r="A38" s="29"/>
      <c r="B38" s="10" t="s">
        <v>15</v>
      </c>
      <c r="C38" s="11"/>
      <c r="D38" s="12"/>
      <c r="E38" s="12"/>
      <c r="F38" s="12"/>
      <c r="G38" s="12"/>
      <c r="H38" s="13"/>
      <c r="I38" s="14"/>
      <c r="J38" s="30"/>
    </row>
    <row r="39" ht="16.5" spans="1:10">
      <c r="A39" s="29"/>
      <c r="B39" s="10"/>
      <c r="C39" s="11"/>
      <c r="D39" s="31"/>
      <c r="E39" s="12"/>
      <c r="F39" s="31"/>
      <c r="G39" s="12"/>
      <c r="H39" s="13"/>
      <c r="I39" s="14"/>
      <c r="J39" s="29"/>
    </row>
    <row r="40" ht="16.5" spans="1:10">
      <c r="A40" s="29"/>
      <c r="B40" s="16"/>
      <c r="C40" s="17" t="s">
        <v>16</v>
      </c>
      <c r="D40" s="18"/>
      <c r="E40" s="18">
        <f>SUM(E38:E38)</f>
        <v>0</v>
      </c>
      <c r="F40" s="18">
        <f>SUM(F38:F38)</f>
        <v>0</v>
      </c>
      <c r="G40" s="18">
        <f>SUM(G38:G39)</f>
        <v>0</v>
      </c>
      <c r="H40" s="19">
        <f>SUM(H38:H39)</f>
        <v>0</v>
      </c>
      <c r="I40" s="14"/>
      <c r="J40" s="29"/>
    </row>
    <row r="41" ht="16.5" spans="1:10">
      <c r="A41" s="21" t="s">
        <v>17</v>
      </c>
      <c r="B41" s="21" t="s">
        <v>13</v>
      </c>
      <c r="C41" s="22"/>
      <c r="D41" s="21">
        <f>D27+D35</f>
        <v>0</v>
      </c>
      <c r="E41" s="21">
        <f>E27+E35</f>
        <v>0</v>
      </c>
      <c r="F41" s="21">
        <f>F27+F35</f>
        <v>0</v>
      </c>
      <c r="G41" s="21">
        <f>G27+G35</f>
        <v>0</v>
      </c>
      <c r="H41" s="21">
        <f>H27+H35</f>
        <v>0</v>
      </c>
      <c r="I41" s="22"/>
      <c r="J41" s="22"/>
    </row>
    <row r="42" ht="16.5" spans="1:10">
      <c r="A42" s="21"/>
      <c r="B42" s="21" t="s">
        <v>14</v>
      </c>
      <c r="C42" s="22"/>
      <c r="D42" s="21">
        <f>D29+D37</f>
        <v>0</v>
      </c>
      <c r="E42" s="21">
        <f>E29+E37</f>
        <v>0</v>
      </c>
      <c r="F42" s="21">
        <f>F29+F37</f>
        <v>0</v>
      </c>
      <c r="G42" s="21">
        <f>G29+G37</f>
        <v>0</v>
      </c>
      <c r="H42" s="21">
        <f>H29+H37</f>
        <v>0</v>
      </c>
      <c r="I42" s="22"/>
      <c r="J42" s="22"/>
    </row>
    <row r="43" ht="16.5" spans="1:10">
      <c r="A43" s="21"/>
      <c r="B43" s="21" t="s">
        <v>15</v>
      </c>
      <c r="C43" s="22"/>
      <c r="D43" s="21">
        <f>D32+D40</f>
        <v>0</v>
      </c>
      <c r="E43" s="21">
        <f>E32+E40</f>
        <v>0</v>
      </c>
      <c r="F43" s="21">
        <f>F32+F40</f>
        <v>0</v>
      </c>
      <c r="G43" s="21">
        <f>G32+G40</f>
        <v>0</v>
      </c>
      <c r="H43" s="21">
        <f>H32+H40</f>
        <v>0</v>
      </c>
      <c r="I43" s="22"/>
      <c r="J43" s="22"/>
    </row>
    <row r="44" spans="1:10">
      <c r="A44" s="32"/>
      <c r="B44" s="32"/>
      <c r="C44" s="32"/>
      <c r="D44" s="32"/>
      <c r="E44" s="32"/>
      <c r="F44" s="32"/>
      <c r="G44" s="32"/>
      <c r="H44" s="32"/>
      <c r="I44" s="32"/>
      <c r="J44" s="32"/>
    </row>
    <row r="45" ht="22.5" spans="1:10">
      <c r="A45" s="33" t="s">
        <v>50</v>
      </c>
      <c r="B45" s="33"/>
      <c r="C45" s="33"/>
      <c r="D45" s="34"/>
      <c r="E45" s="34"/>
      <c r="F45" s="33"/>
      <c r="G45" s="33"/>
      <c r="H45" s="32"/>
      <c r="I45" s="32"/>
      <c r="J45" s="32"/>
    </row>
    <row r="46" ht="16.5" spans="1:10">
      <c r="A46" s="20"/>
      <c r="B46" s="35"/>
      <c r="C46" s="35"/>
      <c r="D46" s="36"/>
      <c r="E46" s="36"/>
      <c r="F46" s="36"/>
      <c r="G46" s="36"/>
    </row>
    <row r="47" ht="16.5" spans="1:10">
      <c r="A47" s="16"/>
      <c r="B47" s="35"/>
      <c r="C47" s="35"/>
      <c r="D47" s="36"/>
      <c r="E47" s="36"/>
      <c r="F47" s="36"/>
      <c r="G47" s="36"/>
    </row>
    <row r="48" ht="16.5" spans="1:10">
      <c r="A48" s="37"/>
      <c r="B48" s="35"/>
      <c r="C48" s="35"/>
      <c r="D48" s="36"/>
      <c r="E48" s="36"/>
      <c r="F48" s="36"/>
      <c r="G48" s="36"/>
    </row>
  </sheetData>
  <mergeCells count="29">
    <mergeCell ref="A1:H1"/>
    <mergeCell ref="I1:J1"/>
    <mergeCell ref="A23:J23"/>
    <mergeCell ref="A45:G45"/>
    <mergeCell ref="B46:C46"/>
    <mergeCell ref="D46:G46"/>
    <mergeCell ref="B47:C47"/>
    <mergeCell ref="D47:G47"/>
    <mergeCell ref="B48:C48"/>
    <mergeCell ref="D48:G48"/>
    <mergeCell ref="A3:A10"/>
    <mergeCell ref="A11:A19"/>
    <mergeCell ref="A20:A22"/>
    <mergeCell ref="A25:A32"/>
    <mergeCell ref="A33:A40"/>
    <mergeCell ref="A41:A43"/>
    <mergeCell ref="A46:A47"/>
    <mergeCell ref="B3:B5"/>
    <mergeCell ref="B6:B7"/>
    <mergeCell ref="B8:B10"/>
    <mergeCell ref="B11:B14"/>
    <mergeCell ref="B15:B16"/>
    <mergeCell ref="B17:B19"/>
    <mergeCell ref="B25:B27"/>
    <mergeCell ref="B28:B29"/>
    <mergeCell ref="B30:B32"/>
    <mergeCell ref="B33:B35"/>
    <mergeCell ref="B36:B37"/>
    <mergeCell ref="B38:B40"/>
  </mergeCells>
  <pageMargins left="0.75" right="0.75" top="1" bottom="1" header="0.5" footer="0.5"/>
  <pageSetup paperSize="9" scale="9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预计汇总（总）</vt:lpstr>
      <vt:lpstr>预计汇总（详细）</vt:lpstr>
      <vt:lpstr>山东办事处</vt:lpstr>
      <vt:lpstr>徐州办事处</vt:lpstr>
      <vt:lpstr>天津子公司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caesardj</dc:creator>
  <cp:lastModifiedBy>Administrator</cp:lastModifiedBy>
  <dcterms:created xsi:type="dcterms:W3CDTF">2020-08-05T02:37:00Z</dcterms:created>
  <dcterms:modified xsi:type="dcterms:W3CDTF">2026-02-02T03:16:10Z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F5A8C849AB2C455F8A90ACE3685F9A43_13</vt:lpwstr>
  </property>
  <property fmtid="{D5CDD505-2E9C-101B-9397-08002B2CF9AE}" pid="4" name="CalculationRule">
    <vt:i4>0</vt:i4>
  </property>
</Properties>
</file>